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 Types" sheetId="1" r:id="rId1"/>
    <sheet name="Summary" sheetId="2" r:id="rId2"/>
    <sheet name="Estimate notes" sheetId="3" r:id="rId3"/>
  </sheets>
  <definedNames>
    <definedName name="_xlnm._FilterDatabase" localSheetId="0" hidden="1">'Log Types'!$A$1:$S$80</definedName>
    <definedName name="DaysPerMonth">Summary!$I$20</definedName>
    <definedName name="FreeRetDays">Summary!$I$19</definedName>
    <definedName name="PriceAnalytics">Summary!$I$14</definedName>
    <definedName name="PriceLake">Summary!$I$15</definedName>
    <definedName name="PriceStorage">Summary!$I$16</definedName>
    <definedName name="RetAnalyticsTotal">Summary!$I$17</definedName>
    <definedName name="RetLakeTotal">Summary!$I$18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Cumulative: cost tiers 1 + 2</t>
        </r>
      </text>
    </comment>
    <comment ref="B4" authorId="0">
      <text>
        <r>
          <rPr>
            <sz val="8"/>
            <color indexed="81"/>
            <rFont val="Tahoma"/>
            <family val="2"/>
          </rPr>
          <t>Cumulative: cost tiers 1 + 2 + 3</t>
        </r>
      </text>
    </comment>
    <comment ref="B8" authorId="0">
      <text>
        <r>
          <rPr>
            <sz val="8"/>
            <color indexed="81"/>
            <rFont val="Tahoma"/>
            <family val="2"/>
          </rPr>
          <t>Cumulative: cost tiers 1 + 2</t>
        </r>
      </text>
    </comment>
    <comment ref="B9" authorId="0">
      <text>
        <r>
          <rPr>
            <sz val="8"/>
            <color indexed="81"/>
            <rFont val="Tahoma"/>
            <family val="2"/>
          </rPr>
          <t>Cumulative: cost tiers 1 + 2 + 3</t>
        </r>
      </text>
    </comment>
    <comment ref="B13" authorId="0">
      <text>
        <r>
          <rPr>
            <sz val="8"/>
            <color indexed="81"/>
            <rFont val="Tahoma"/>
            <family val="2"/>
          </rPr>
          <t>Cumulative: cost tiers 1 + 2</t>
        </r>
      </text>
    </comment>
    <comment ref="B14" authorId="0">
      <text>
        <r>
          <rPr>
            <sz val="8"/>
            <color indexed="81"/>
            <rFont val="Tahoma"/>
            <family val="2"/>
          </rPr>
          <t>Cumulative: cost tiers 1 + 2 + 3</t>
        </r>
      </text>
    </comment>
    <comment ref="B18" authorId="0">
      <text>
        <r>
          <rPr>
            <sz val="8"/>
            <color indexed="81"/>
            <rFont val="Tahoma"/>
            <family val="2"/>
          </rPr>
          <t>Cumulative: cost tiers 1 + 2</t>
        </r>
      </text>
    </comment>
    <comment ref="B19" authorId="0">
      <text>
        <r>
          <rPr>
            <sz val="8"/>
            <color indexed="81"/>
            <rFont val="Tahoma"/>
            <family val="2"/>
          </rPr>
          <t>Cumulative: cost tiers 1 + 2 + 3</t>
        </r>
      </text>
    </comment>
  </commentList>
</comments>
</file>

<file path=xl/sharedStrings.xml><?xml version="1.0" encoding="utf-8"?>
<sst xmlns="http://schemas.openxmlformats.org/spreadsheetml/2006/main" count="814" uniqueCount="294">
  <si>
    <t>Category</t>
  </si>
  <si>
    <t>Sub-category</t>
  </si>
  <si>
    <t>Detection</t>
  </si>
  <si>
    <t>Forensics &amp; Investigation</t>
  </si>
  <si>
    <t>Compliance</t>
  </si>
  <si>
    <t>Ingestion Method</t>
  </si>
  <si>
    <t>Storage Target</t>
  </si>
  <si>
    <t>Status</t>
  </si>
  <si>
    <t>Log Source</t>
  </si>
  <si>
    <t>Table Name</t>
  </si>
  <si>
    <t>Cost Tier</t>
  </si>
  <si>
    <t>DaysWithData</t>
  </si>
  <si>
    <t>AvgGBperDay</t>
  </si>
  <si>
    <t>MinGBperDay</t>
  </si>
  <si>
    <t>MaxGBperDay</t>
  </si>
  <si>
    <t>BillableGBperDay</t>
  </si>
  <si>
    <t>CHFperDay</t>
  </si>
  <si>
    <t>CHFperMonth</t>
  </si>
  <si>
    <t>LakeCHFperMonthWhenFull</t>
  </si>
  <si>
    <t>Endpoint / Host / EC2</t>
  </si>
  <si>
    <t>EDR/XDR telemetry</t>
  </si>
  <si>
    <t>XDR → Sentinel integration</t>
  </si>
  <si>
    <t>SIEM + SIEM data lake</t>
  </si>
  <si>
    <t>Completed</t>
  </si>
  <si>
    <t>MS Defender for Endpoint</t>
  </si>
  <si>
    <t>DeviceEvents</t>
  </si>
  <si>
    <t>DeviceProcessEvents</t>
  </si>
  <si>
    <t>DeviceNetworkEvents</t>
  </si>
  <si>
    <t>DeviceLogonEvents</t>
  </si>
  <si>
    <t>DeviceRegistryEvents</t>
  </si>
  <si>
    <t>DeviceFileEvents</t>
  </si>
  <si>
    <t>Tanium Threat Response alerts</t>
  </si>
  <si>
    <t>Tanium → Logs Ingestion API / DCR</t>
  </si>
  <si>
    <t>Tanium</t>
  </si>
  <si>
    <t>TaniumThreatResponse_CL</t>
  </si>
  <si>
    <t>Tanium Audit events</t>
  </si>
  <si>
    <t>SIEM data lake</t>
  </si>
  <si>
    <t>TaniumAuditSource_CL</t>
  </si>
  <si>
    <t>Tanium Performance</t>
  </si>
  <si>
    <t>Data platform</t>
  </si>
  <si>
    <t>On-hold</t>
  </si>
  <si>
    <t>OS Logs - Windows</t>
  </si>
  <si>
    <t>Windows Event Logs:
Security, System, Application
Windows Defender Firewall
Microsoft-Windows-Windows Defender/Operational
Microsoft-Windows-PowerShell/Operational
Monitoring of critical configuration files (FIM)</t>
  </si>
  <si>
    <t>Events</t>
  </si>
  <si>
    <t>OS Logs - Linux</t>
  </si>
  <si>
    <t>Syslog</t>
  </si>
  <si>
    <t>Linux OS:
Auth / Authpriv
Auditd logs
Deamon logs
Kern logs
Cron logs
Firewall logs
critical configuration files (FIM)</t>
  </si>
  <si>
    <t>Endpoint / Host / EC2
OS - Intune Audit / Config Change logs</t>
  </si>
  <si>
    <t>OS - Intune Audit / Config Change logs</t>
  </si>
  <si>
    <t>Intune → Sentinel direct</t>
  </si>
  <si>
    <t>Data Platform</t>
  </si>
  <si>
    <t>To be onboarded</t>
  </si>
  <si>
    <t>Intune Diagnostics Settings</t>
  </si>
  <si>
    <t>Intune - Workspace centralitlog</t>
  </si>
  <si>
    <t>Powershell logs</t>
  </si>
  <si>
    <t>PowerShell logs</t>
  </si>
  <si>
    <t>Tanium Connector</t>
  </si>
  <si>
    <t>Tanium Signals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</si>
  <si>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TaniumThreatResponse_CL</t>
    </r>
  </si>
  <si>
    <t>OS - Windows Registry Activity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</si>
  <si>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DeviceRegistryEvents</t>
    </r>
  </si>
  <si>
    <t>Identity &amp; Access</t>
  </si>
  <si>
    <t>Directory Services (Entra ID) - sign in &amp; audit logs</t>
  </si>
  <si>
    <t>EntraID → Sentinel integration</t>
  </si>
  <si>
    <t>EntraID</t>
  </si>
  <si>
    <t>SigninLogs</t>
  </si>
  <si>
    <t>est.</t>
  </si>
  <si>
    <t>Directory Services (AD) - sign-in &amp; audit logs</t>
  </si>
  <si>
    <t>Azure ARC Agent for DC</t>
  </si>
  <si>
    <t>Active Directory</t>
  </si>
  <si>
    <t>SecurityEvents</t>
  </si>
  <si>
    <t>Directory Services (AD + Entra ID) - authentication events</t>
  </si>
  <si>
    <t>Azure ARC Agent for DC
EntraID → Sentinel integration</t>
  </si>
  <si>
    <t>EntraID
Active Directory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</si>
  <si>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SigninLogs
SecurityEvents</t>
    </r>
  </si>
  <si>
    <t>Directory Services (AD + Entra ID) - Kerberos ticket operations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</si>
  <si>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SecurityEvents</t>
    </r>
  </si>
  <si>
    <t>Directory Services (AD + Entra ID) - replication &amp; LDAP events</t>
  </si>
  <si>
    <t>Multi-factor authentication logs</t>
  </si>
  <si>
    <t>Privileged Access Management (PAM) logs</t>
  </si>
  <si>
    <t>PIM for EntraID</t>
  </si>
  <si>
    <t>AuditLogs | where LoggedByService contains "PIM"</t>
  </si>
  <si>
    <t>VPN/remote access logs</t>
  </si>
  <si>
    <t>Checkpoint Management console</t>
  </si>
  <si>
    <t>CyberArk Audit logs</t>
  </si>
  <si>
    <t>CCF</t>
  </si>
  <si>
    <t>Idira</t>
  </si>
  <si>
    <t>CyberArk_AuditEvents_CL</t>
  </si>
  <si>
    <t>Cisco ISE</t>
  </si>
  <si>
    <t>Network</t>
  </si>
  <si>
    <t>Firewall - threat logs</t>
  </si>
  <si>
    <t>AMA / Syslog</t>
  </si>
  <si>
    <t>Palo Alto Panorama</t>
  </si>
  <si>
    <t>PaloAltoThreat_CL</t>
  </si>
  <si>
    <t>Firewall - web proxy logs (URL logs) - RawData</t>
  </si>
  <si>
    <t>PaloAltoUrlFiltering_Raw_CL</t>
  </si>
  <si>
    <t>Firewall - web proxy logs (URL logs) - Extracted Fields</t>
  </si>
  <si>
    <t>In Progress</t>
  </si>
  <si>
    <t>PaloAltoUrlFiltering_CL</t>
  </si>
  <si>
    <t>Firewall - traffic logs - RawData</t>
  </si>
  <si>
    <t>PaloAltoTraffic_Raw_CL</t>
  </si>
  <si>
    <t>Firewall - traffic logs - Extracted Fields</t>
  </si>
  <si>
    <t>PaloAltoTraffic_CL</t>
  </si>
  <si>
    <t>Firewall - audit logs</t>
  </si>
  <si>
    <t>DNS query/response logs</t>
  </si>
  <si>
    <t>Network device Audit logs</t>
  </si>
  <si>
    <t>DHCP lease logs</t>
  </si>
  <si>
    <t>Cloud Infrastructure</t>
  </si>
  <si>
    <t>Cloud provider audit logs (e.g. AWS CloudTrail, Azure Activity Logs)</t>
  </si>
  <si>
    <t>AWS</t>
  </si>
  <si>
    <t>AWS CloudTrail</t>
  </si>
  <si>
    <t>Azure Activity Logs</t>
  </si>
  <si>
    <t>AzureActivity</t>
  </si>
  <si>
    <t>Cloud-native security tool logs (e.g. AWS GuardDuty)</t>
  </si>
  <si>
    <t>AWS GuardDuty</t>
  </si>
  <si>
    <t>AWSGuardDuty</t>
  </si>
  <si>
    <t>Cloud-native security tool logs (e.g. CloudTrail Insights)</t>
  </si>
  <si>
    <t>CloudTrail Insights and Defender for Cloud to be verified</t>
  </si>
  <si>
    <t>CloudTrail Insights</t>
  </si>
  <si>
    <t>Cloud-native security tool logs (Azure)</t>
  </si>
  <si>
    <t>Azure</t>
  </si>
  <si>
    <t>Microsoft Defender for Cloud</t>
  </si>
  <si>
    <t>Cloud network logs (e.g. AWS VPC Flow Logs)</t>
  </si>
  <si>
    <t>AWS VPC Flow Logs</t>
  </si>
  <si>
    <t>Cloud-native container management &amp; orchestration logs</t>
  </si>
  <si>
    <t>AWS EKS</t>
  </si>
  <si>
    <t>Cloud DNS resolvers (e.g. AWS Route 53)</t>
  </si>
  <si>
    <t>AWS Route 53</t>
  </si>
  <si>
    <t>IAM entitlement/permission changes</t>
  </si>
  <si>
    <t>Storage access logs (e.g. bucket/blob)</t>
  </si>
  <si>
    <t>Serverless execution logs (e.g. AWS Lambda)</t>
  </si>
  <si>
    <t>AWS Lambda</t>
  </si>
  <si>
    <t>Infrastructure-as-code deployment logs (e.g. Terraform)</t>
  </si>
  <si>
    <t>AWS Just in time</t>
  </si>
  <si>
    <t>Email &amp; Collaboration Tools</t>
  </si>
  <si>
    <t>Email traffic &amp; security logs (e.g. M365, Defender)
Collaboration platform logs (e.g. MS Teams, Slack)
Exchange audit logs</t>
  </si>
  <si>
    <t>MS Defender for O365</t>
  </si>
  <si>
    <t>Defender for O365</t>
  </si>
  <si>
    <t>OfficeActivity</t>
  </si>
  <si>
    <t>File sharing/cloud storage activity logs</t>
  </si>
  <si>
    <t>Data Security</t>
  </si>
  <si>
    <t>DLP Security events</t>
  </si>
  <si>
    <t>Highly Critical Applications</t>
  </si>
  <si>
    <t>Web service access logs (e.g. Apache, Nginx, IIS)</t>
  </si>
  <si>
    <t>Pending</t>
  </si>
  <si>
    <t>API gateway logs</t>
  </si>
  <si>
    <t>Custom application logs (candidates for detecting malicious activity)</t>
  </si>
  <si>
    <t>SIEM + SIEM data lake + Data Platform</t>
  </si>
  <si>
    <t>In progress</t>
  </si>
  <si>
    <t>Database sign-in events</t>
  </si>
  <si>
    <t>Database permission changes</t>
  </si>
  <si>
    <t>Database data access and export</t>
  </si>
  <si>
    <t>Web Application Firewall traffic</t>
  </si>
  <si>
    <t>Web Application Firewall threat logs</t>
  </si>
  <si>
    <t>Application administrator activity</t>
  </si>
  <si>
    <t>Database administrator activity</t>
  </si>
  <si>
    <t>Config change</t>
  </si>
  <si>
    <t>Log stopped</t>
  </si>
  <si>
    <t>Database backup / restore operation</t>
  </si>
  <si>
    <t>Substantially Critical Applications</t>
  </si>
  <si>
    <t>From Log Types (cumulative tiers)</t>
  </si>
  <si>
    <t>Analytics GB/day</t>
  </si>
  <si>
    <t>Lake GB/day</t>
  </si>
  <si>
    <t>Lake ingest CHF/month</t>
  </si>
  <si>
    <t>Storage CHF/month</t>
  </si>
  <si>
    <t>Tier 1</t>
  </si>
  <si>
    <t>Tier 2</t>
  </si>
  <si>
    <t>Tier 3</t>
  </si>
  <si>
    <t>Commitment tier (analytics tier only)</t>
  </si>
  <si>
    <t>GB per day</t>
  </si>
  <si>
    <t>CHF per day</t>
  </si>
  <si>
    <t>CHF per GB</t>
  </si>
  <si>
    <t>Discount vs PAYG</t>
  </si>
  <si>
    <t>Pay as you go</t>
  </si>
  <si>
    <t>50 GB/day (promo)</t>
  </si>
  <si>
    <t>100 GB/day</t>
  </si>
  <si>
    <t>200 GB/day</t>
  </si>
  <si>
    <t>Fixed price per day, paid even on quieter days. GB above the tier cost the tier's own CHF per GB.</t>
  </si>
  <si>
    <t>Prices and settings (CHF, Switzerland North list prices, Oct 2026)</t>
  </si>
  <si>
    <t>Analytics tier, pay as you go (per GB)</t>
  </si>
  <si>
    <t>Data lake ingestion + processing (per GB)</t>
  </si>
  <si>
    <t>Data lake storage (per compressed GB per month, 6:1)</t>
  </si>
  <si>
    <t>Total retention of analytics tables (days)</t>
  </si>
  <si>
    <t>Total retention of lake-only tables (days)</t>
  </si>
  <si>
    <t>Analytics retention included in the price (days)</t>
  </si>
  <si>
    <t>Days per month</t>
  </si>
  <si>
    <t>LakeCHFperMonth</t>
  </si>
  <si>
    <t>TotalCHFperMonth</t>
  </si>
  <si>
    <t>TotalCHFperYear</t>
  </si>
  <si>
    <t>50 GB/day</t>
  </si>
  <si>
    <t>Cheapest option</t>
  </si>
  <si>
    <t>Option</t>
  </si>
  <si>
    <t>Saving/year vs PAYG</t>
  </si>
  <si>
    <t>Tiers are cumulative: Tier 2 = cost tiers 1 + 2, Tier 3 = cost tiers 1 + 2 + 3 (column K of Log Types; 0 is out of scope).</t>
  </si>
  <si>
    <t>CHFperMonth = Sentinel analytics tier, the part a commitment tier discounts. LakeCHFperMonth = data lake ingestion + processing, plus storage of analytics data after 90 days and of lake-only tables, at full retention. It's the same whichever pricing you pick.</t>
  </si>
  <si>
    <t>A commitment tier applies per workspace and has a 31-day minimum. The cheapest total per tier is highlighted in green.</t>
  </si>
  <si>
    <t>The 50 GB/day tier is a promotion: sign up by 31 Dec 2026; the price is locked only until 31 Mar 2027.</t>
  </si>
  <si>
    <t>List prices excluding VAT. The Microsoft 365 E5 grant and any agreement discount are not deducted.</t>
  </si>
  <si>
    <t>Estimate notes</t>
  </si>
  <si>
    <t>Pale yellow cells in columns L-S of Log Types are estimates. Change the GB/day in column M (blue), or tick/untick Detection, and the costs on that row update.</t>
  </si>
  <si>
    <t>Destination follows your rule: Detection ticked = analytics, otherwise data lake. Rows with data already were kept, except where noted below.</t>
  </si>
  <si>
    <t>Ingested today but not in your table: BehaviorAnalytics (UEBA) about 1.34 GB/day, CHF ~203/month; EmailUrlInfo about 0.14 GB/day, CHF ~21/month. Out of scope (tier 0) but still ingesting: Syslog about CHF 475/month, Event about CHF 22/month.</t>
  </si>
  <si>
    <t>Row</t>
  </si>
  <si>
    <t>Table assumed</t>
  </si>
  <si>
    <t>Destination</t>
  </si>
  <si>
    <t>GB/day used</t>
  </si>
  <si>
    <t>Range (GB/day)</t>
  </si>
  <si>
    <t>Basis</t>
  </si>
  <si>
    <t>Analytics</t>
  </si>
  <si>
    <t>0.2 - 1.5</t>
  </si>
  <si>
    <t>Interactive Entra ID sign-ins, sized for ~1,500-2,500 users (from your Defender volumes). SigninLogs doesn't appear in your usage results at all, so it isn't being ingested yet even though the row says Completed - check the Entra ID connector. Non-interactive sign-ins (AADNonInteractiveUserSignInLogs) would add 2-5x this. Covered by the Microsoft 365 E5 grant if you have it.</t>
  </si>
  <si>
    <t>Syslog / CommonSecurityLog</t>
  </si>
  <si>
    <t>Data lake</t>
  </si>
  <si>
    <t>0.1 - 1</t>
  </si>
  <si>
    <t>Check Point VPN logins and session events only. Detection isn't ticked, so it's priced in the data lake; in analytics it would be about CHF 76/month.</t>
  </si>
  <si>
    <t>0.5 - 10</t>
  </si>
  <si>
    <t>RADIUS authentication + accounting. Most of the volume is accounting and successful logins; keep failed logins, TACACS+ admin logins and config changes in analytics and split the rest to the lake to cut it.</t>
  </si>
  <si>
    <t>Analytics (measured)</t>
  </si>
  <si>
    <t>-</t>
  </si>
  <si>
    <t>Measured: from your KQL results (last 30 days).</t>
  </si>
  <si>
    <t>Data lake (measured)</t>
  </si>
  <si>
    <t>Your lake query output was one column off from the headers. Moved so P-S mean the same as on every other row: billable GB/day, CHF/day, CHF/month (lake ingestion + processing), lake storage when full. Values unchanged.</t>
  </si>
  <si>
    <t>10 - 20</t>
  </si>
  <si>
    <t>Extracted fields = about 30% of the raw URL table (48.4 GB/day). Measure the real share with the SlimShare query before relying on it.</t>
  </si>
  <si>
    <t>Your lake query output was one column off from the headers. Moved so P-S mean the same as on every other row. Values unchanged.</t>
  </si>
  <si>
    <t>20 - 40</t>
  </si>
  <si>
    <t>Extracted fields = about 25% of raw traffic (112.14 GB/day). Filtering rows as well (e.g. internal allowed traffic) brings it down further.</t>
  </si>
  <si>
    <t>DNS server logs (ASIM DNS)</t>
  </si>
  <si>
    <t>3 - 25</t>
  </si>
  <si>
    <t>On-premises DNS servers, one record per query, ~1,500-2,500 clients. Depends a lot on whether servers and internal lookups are included.</t>
  </si>
  <si>
    <t>DHCP server logs</t>
  </si>
  <si>
    <t>0.05 - 0.5</t>
  </si>
  <si>
    <t>One record per lease event.</t>
  </si>
  <si>
    <t>AWSCloudTrail</t>
  </si>
  <si>
    <t>1 - 5</t>
  </si>
  <si>
    <t>Management events only; S3/Lambda data events can be 10x more. Detection isn't ticked, so it's priced in the data lake; in analytics it would be about CHF 455/month.</t>
  </si>
  <si>
    <t>Measured: from your KQL results. Free in analytics, so leave it there (lake ingestion would not be free).</t>
  </si>
  <si>
    <t>0.01 - 0.1</t>
  </si>
  <si>
    <t>Findings only, not raw logs.</t>
  </si>
  <si>
    <t>~0</t>
  </si>
  <si>
    <t>A handful of events, and Sentinel's AWS connector doesn't ingest Insights events (the AWSCloudTrail table has no Insights fields). Costs sit on the AWS bill.</t>
  </si>
  <si>
    <t>SecurityAlert</t>
  </si>
  <si>
    <t>0.01 - 0.05</t>
  </si>
  <si>
    <t>Defender for Cloud alerts are free (billable 0).</t>
  </si>
  <si>
    <t>AWSVPCFlow</t>
  </si>
  <si>
    <t>5 - 50</t>
  </si>
  <si>
    <t>Biggest uncertainty in the sheet: one record per network flow, so it follows your AWS traffic. Strong candidate for the data lake plus a split rule (e.g. only rejected or internet-facing flows in analytics).</t>
  </si>
  <si>
    <t>AWSRoute53Resolver</t>
  </si>
  <si>
    <t>1 - 20</t>
  </si>
  <si>
    <t>One record per DNS query made from your VPCs.</t>
  </si>
  <si>
    <t>AWSCloudTrail (IAM events)</t>
  </si>
  <si>
    <t>0.02 - 0.2</t>
  </si>
  <si>
    <t>IAM changes come from CloudTrail. Split those events (about 2% of CloudTrail) into analytics while the rest of CloudTrail stays in the lake.</t>
  </si>
  <si>
    <t>S3 access logs / CloudTrail data events</t>
  </si>
  <si>
    <t>1 - 50</t>
  </si>
  <si>
    <t>One record per object access, so it scales with S3 usage.</t>
  </si>
  <si>
    <t>AWSCloudWatch</t>
  </si>
  <si>
    <t>Lambda logs exported via CloudWatch; depends on how much the functions log.</t>
  </si>
  <si>
    <t>Measured: from your KQL results. OfficeActivity is free; only storage after 90 days costs.</t>
  </si>
  <si>
    <t>CloudAppEvents</t>
  </si>
  <si>
    <t>0 - 4</t>
  </si>
  <si>
    <t>Assumes Defender for Cloud Apps events (CloudAppEvents). SharePoint/OneDrive activity is already in OfficeActivity for free; if that's enough, set this to 0. Covered by the E5 grant if you have it.</t>
  </si>
  <si>
    <t>MicrosoftPurviewInformationProtection</t>
  </si>
  <si>
    <t>0.3 - 1.5</t>
  </si>
  <si>
    <t>Label and DLP activity. DLP alerts themselves are free.</t>
  </si>
  <si>
    <t>Web server logs</t>
  </si>
  <si>
    <t>1 - 10</t>
  </si>
  <si>
    <t>One line per request.</t>
  </si>
  <si>
    <t>One record per API call.</t>
  </si>
  <si>
    <t>Custom tables (_CL)</t>
  </si>
  <si>
    <t>0.2 - 5</t>
  </si>
  <si>
    <t>Security-relevant application events only.</t>
  </si>
  <si>
    <t>Database audit logs</t>
  </si>
  <si>
    <t>0.05 - 1</t>
  </si>
  <si>
    <t>&lt; 0.05</t>
  </si>
  <si>
    <t>0.5 - 20</t>
  </si>
  <si>
    <t>Depends on how much read (SELECT) auditing is switched on.</t>
  </si>
  <si>
    <t>WAF logs</t>
  </si>
  <si>
    <t>1 - 15</t>
  </si>
  <si>
    <t>Every request; candidate for the data lake if detection only needs the threat logs.</t>
  </si>
  <si>
    <t>Matched and blocked requests only.</t>
  </si>
  <si>
    <t>Application audit logs</t>
  </si>
  <si>
    <t>0.01 - 0.2</t>
  </si>
  <si>
    <t>0.02 - 0.5</t>
  </si>
  <si>
    <t>&lt; 0.1</t>
  </si>
  <si>
    <t>A detection on missing data; adds no volume.</t>
  </si>
  <si>
    <t>One line per request. Assumed the same size as the highly critical apps; scale by the number of apps.</t>
  </si>
  <si>
    <t>One record per API call. Assumed the same size as the highly critical apps; scale by the number of apps.</t>
  </si>
  <si>
    <t>Security-relevant application events only. Assumed the same size as the highly critical apps; scale by the number of apps.</t>
  </si>
  <si>
    <t>Assumed the same size as the highly critical apps; scale by the number of apps.</t>
  </si>
  <si>
    <t>Depends on how much read (SELECT) auditing is switched on. Assumed the same size as the highly critical apps; scale by the number of apps.</t>
  </si>
  <si>
    <t>Every request; candidate for the data lake if detection only needs the threat logs. Assumed the same size as the highly critical apps; scale by the number of apps.</t>
  </si>
  <si>
    <t>Matched and blocked requests only. Assumed the same size as the highly critical apps; scale by the number of apps.</t>
  </si>
  <si>
    <t>A detection on missing data; adds no volume. Assumed the same size as the highly critical apps; scale by the number of apps.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</si>
</sst>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#,##0"/>
    <numFmt numFmtId="166" formatCode="0.0000"/>
    <numFmt numFmtId="167" formatCode="0.0%;-0.0%;-"/>
    <numFmt numFmtId="168" formatCode="0.00"/>
  </numFmts>
  <fonts count="16">
    <font>
      <sz val="11"/>
      <color theme="1"/>
      <name val="Calibri"/>
      <family val="2"/>
      <scheme val="minor"/>
    </font>
    <font>
      <b/>
      <sz val="9"/>
      <color theme="1"/>
      <name val="Sora"/>
      <family val="2"/>
    </font>
    <font>
      <b/>
      <sz val="9"/>
      <color rgb="FFFFFFFF"/>
      <name val="Sora"/>
      <family val="2"/>
    </font>
    <font>
      <sz val="9"/>
      <color theme="1"/>
      <name val="Sora"/>
      <family val="2"/>
    </font>
    <font>
      <i/>
      <sz val="9"/>
      <color rgb="FF7F6000"/>
      <name val="Sora"/>
      <family val="2"/>
    </font>
    <font>
      <sz val="9"/>
      <color rgb="FF0000FF"/>
      <name val="Sora"/>
      <family val="2"/>
    </font>
    <font>
      <sz val="9"/>
      <color rgb="FFFFFFFF"/>
      <name val="Sora"/>
      <family val="2"/>
    </font>
    <font>
      <sz val="10"/>
      <color theme="1"/>
      <name val="Sora"/>
      <family val="2"/>
    </font>
    <font>
      <b/>
      <sz val="10"/>
      <color rgb="FFFFFFFF"/>
      <name val="Sora"/>
      <family val="2"/>
    </font>
    <font>
      <b/>
      <sz val="10"/>
      <color theme="1"/>
      <name val="Sora"/>
      <family val="2"/>
    </font>
    <font>
      <sz val="10"/>
      <color rgb="FF0000FF"/>
      <name val="Sora"/>
      <family val="2"/>
    </font>
    <font>
      <i/>
      <sz val="9"/>
      <color rgb="FF595959"/>
      <name val="Sora"/>
      <family val="2"/>
    </font>
    <font>
      <b/>
      <sz val="10"/>
      <color rgb="FF1F3864"/>
      <name val="Sora"/>
      <family val="2"/>
    </font>
    <font>
      <b/>
      <sz val="10"/>
      <color rgb="FF006100"/>
      <name val="Sora"/>
      <family val="2"/>
    </font>
    <font>
      <b/>
      <sz val="14"/>
      <color rgb="FF1F3864"/>
      <name val="Sora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483D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1" fontId="7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164" fontId="7" fillId="7" borderId="1" xfId="0" applyNumberFormat="1" applyFont="1" applyFill="1" applyBorder="1" applyAlignment="1">
      <alignment vertical="center"/>
    </xf>
    <xf numFmtId="165" fontId="7" fillId="7" borderId="1" xfId="0" applyNumberFormat="1" applyFont="1" applyFill="1" applyBorder="1" applyAlignment="1">
      <alignment vertical="center"/>
    </xf>
    <xf numFmtId="166" fontId="7" fillId="7" borderId="1" xfId="0" applyNumberFormat="1" applyFont="1" applyFill="1" applyBorder="1" applyAlignment="1">
      <alignment vertical="center"/>
    </xf>
    <xf numFmtId="167" fontId="7" fillId="7" borderId="1" xfId="0" applyNumberFormat="1" applyFont="1" applyFill="1" applyBorder="1" applyAlignment="1">
      <alignment vertical="center"/>
    </xf>
    <xf numFmtId="165" fontId="10" fillId="8" borderId="1" xfId="0" applyNumberFormat="1" applyFont="1" applyFill="1" applyBorder="1" applyAlignment="1">
      <alignment vertical="center"/>
    </xf>
    <xf numFmtId="166" fontId="10" fillId="8" borderId="1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12" fillId="9" borderId="0" xfId="0" applyFont="1" applyFill="1" applyAlignment="1">
      <alignment vertical="center"/>
    </xf>
    <xf numFmtId="168" fontId="7" fillId="7" borderId="1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tabSelected="1" zoomScale="85" zoomScaleNormal="85" workbookViewId="0"/>
  </sheetViews>
  <sheetFormatPr defaultRowHeight="15"/>
  <cols>
    <col min="1" max="1" width="17.7109375" customWidth="1"/>
    <col min="2" max="2" width="24.7109375" customWidth="1"/>
    <col min="3" max="3" width="10.7109375" customWidth="1"/>
    <col min="4" max="4" width="11.7109375" customWidth="1"/>
    <col min="5" max="5" width="10.7109375" customWidth="1"/>
    <col min="6" max="6" width="15.7109375" customWidth="1"/>
    <col min="7" max="7" width="13.7109375" customWidth="1"/>
    <col min="8" max="8" width="11.7109375" customWidth="1"/>
    <col min="9" max="10" width="20.7109375" customWidth="1"/>
    <col min="11" max="11" width="9.7109375" customWidth="1"/>
    <col min="12" max="15" width="14.7109375" customWidth="1"/>
    <col min="16" max="16" width="17.7109375" customWidth="1"/>
    <col min="17" max="17" width="12.7109375" customWidth="1"/>
    <col min="18" max="18" width="13.7109375" customWidth="1"/>
    <col min="19" max="19" width="24.7109375" customWidth="1"/>
  </cols>
  <sheetData>
    <row r="1" spans="1:1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8" customHeight="1">
      <c r="A2" s="3" t="s">
        <v>19</v>
      </c>
      <c r="B2" s="3" t="s">
        <v>20</v>
      </c>
      <c r="C2" s="4" t="b">
        <v>1</v>
      </c>
      <c r="D2" s="4" t="b">
        <v>1</v>
      </c>
      <c r="E2" s="4" t="b">
        <v>1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1</v>
      </c>
      <c r="L2" s="3">
        <v>27</v>
      </c>
      <c r="M2" s="3">
        <v>6.41</v>
      </c>
      <c r="N2" s="3">
        <v>1.45</v>
      </c>
      <c r="O2" s="3">
        <v>9.890000000000001</v>
      </c>
      <c r="P2" s="3">
        <v>6.41</v>
      </c>
      <c r="Q2" s="3">
        <v>31.96</v>
      </c>
      <c r="R2" s="3">
        <v>972</v>
      </c>
      <c r="S2" s="3">
        <v>15</v>
      </c>
    </row>
    <row r="3" spans="1:19" ht="28" customHeight="1">
      <c r="A3" s="3" t="s">
        <v>19</v>
      </c>
      <c r="B3" s="3" t="s">
        <v>20</v>
      </c>
      <c r="C3" s="4" t="b">
        <v>1</v>
      </c>
      <c r="D3" s="4" t="b">
        <v>1</v>
      </c>
      <c r="E3" s="4" t="b">
        <v>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26</v>
      </c>
      <c r="K3" s="3">
        <v>1</v>
      </c>
      <c r="L3" s="3">
        <v>27</v>
      </c>
      <c r="M3" s="3">
        <v>14.46</v>
      </c>
      <c r="N3" s="3">
        <v>4.67</v>
      </c>
      <c r="O3" s="3">
        <v>17.5</v>
      </c>
      <c r="P3" s="3">
        <v>14.46</v>
      </c>
      <c r="Q3" s="3">
        <v>72.05</v>
      </c>
      <c r="R3" s="3">
        <v>2192</v>
      </c>
      <c r="S3" s="3">
        <v>34</v>
      </c>
    </row>
    <row r="4" spans="1:19" ht="28" customHeight="1">
      <c r="A4" s="3" t="s">
        <v>19</v>
      </c>
      <c r="B4" s="3" t="s">
        <v>20</v>
      </c>
      <c r="C4" s="4" t="b">
        <v>1</v>
      </c>
      <c r="D4" s="4" t="b">
        <v>1</v>
      </c>
      <c r="E4" s="4" t="b">
        <v>1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27</v>
      </c>
      <c r="K4" s="3">
        <v>1</v>
      </c>
      <c r="L4" s="3">
        <v>27</v>
      </c>
      <c r="M4" s="3">
        <v>5.12</v>
      </c>
      <c r="N4" s="3">
        <v>0.92</v>
      </c>
      <c r="O4" s="3">
        <v>7.6</v>
      </c>
      <c r="P4" s="3">
        <v>5.12</v>
      </c>
      <c r="Q4" s="3">
        <v>25.53</v>
      </c>
      <c r="R4" s="3">
        <v>776</v>
      </c>
      <c r="S4" s="3">
        <v>12</v>
      </c>
    </row>
    <row r="5" spans="1:19" ht="28" customHeight="1">
      <c r="A5" s="3" t="s">
        <v>19</v>
      </c>
      <c r="B5" s="3" t="s">
        <v>20</v>
      </c>
      <c r="C5" s="4" t="b">
        <v>1</v>
      </c>
      <c r="D5" s="4" t="b">
        <v>1</v>
      </c>
      <c r="E5" s="4" t="b">
        <v>1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28</v>
      </c>
      <c r="K5" s="3">
        <v>1</v>
      </c>
      <c r="L5" s="3">
        <v>27</v>
      </c>
      <c r="M5" s="3">
        <v>0.22</v>
      </c>
      <c r="N5" s="3">
        <v>0.1</v>
      </c>
      <c r="O5" s="3">
        <v>0.41</v>
      </c>
      <c r="P5" s="3">
        <v>0.22</v>
      </c>
      <c r="Q5" s="3">
        <v>1.08</v>
      </c>
      <c r="R5" s="3">
        <v>33</v>
      </c>
      <c r="S5" s="3">
        <v>1</v>
      </c>
    </row>
    <row r="6" spans="1:19" ht="28" customHeight="1">
      <c r="A6" s="3" t="s">
        <v>19</v>
      </c>
      <c r="B6" s="3" t="s">
        <v>20</v>
      </c>
      <c r="C6" s="4" t="b">
        <v>1</v>
      </c>
      <c r="D6" s="4" t="b">
        <v>1</v>
      </c>
      <c r="E6" s="4" t="b">
        <v>1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29</v>
      </c>
      <c r="K6" s="3">
        <v>1</v>
      </c>
      <c r="L6" s="3">
        <v>27</v>
      </c>
      <c r="M6" s="3">
        <v>1.57</v>
      </c>
      <c r="N6" s="3">
        <v>0.28</v>
      </c>
      <c r="O6" s="3">
        <v>3.48</v>
      </c>
      <c r="P6" s="3">
        <v>1.57</v>
      </c>
      <c r="Q6" s="3">
        <v>7.82</v>
      </c>
      <c r="R6" s="3">
        <v>238</v>
      </c>
      <c r="S6" s="3">
        <v>4</v>
      </c>
    </row>
    <row r="7" spans="1:19" ht="28" customHeight="1">
      <c r="A7" s="3" t="s">
        <v>19</v>
      </c>
      <c r="B7" s="3" t="s">
        <v>20</v>
      </c>
      <c r="C7" s="4" t="b">
        <v>1</v>
      </c>
      <c r="D7" s="4" t="b">
        <v>1</v>
      </c>
      <c r="E7" s="4" t="b">
        <v>1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30</v>
      </c>
      <c r="K7" s="3">
        <v>1</v>
      </c>
      <c r="L7" s="3">
        <v>28</v>
      </c>
      <c r="M7" s="3">
        <v>5.55</v>
      </c>
      <c r="N7" s="3">
        <v>1.32</v>
      </c>
      <c r="O7" s="3">
        <v>13.51</v>
      </c>
      <c r="P7" s="3">
        <v>5.55</v>
      </c>
      <c r="Q7" s="3">
        <v>27.65</v>
      </c>
      <c r="R7" s="3">
        <v>841</v>
      </c>
      <c r="S7" s="3">
        <v>13</v>
      </c>
    </row>
    <row r="8" spans="1:19" ht="40" customHeight="1">
      <c r="A8" s="3" t="s">
        <v>19</v>
      </c>
      <c r="B8" s="3" t="s">
        <v>31</v>
      </c>
      <c r="C8" s="4" t="b">
        <v>1</v>
      </c>
      <c r="D8" s="4" t="b">
        <v>1</v>
      </c>
      <c r="E8" s="4" t="b">
        <v>1</v>
      </c>
      <c r="F8" s="3" t="s">
        <v>32</v>
      </c>
      <c r="G8" s="3" t="s">
        <v>22</v>
      </c>
      <c r="H8" s="3" t="s">
        <v>23</v>
      </c>
      <c r="I8" s="3" t="s">
        <v>33</v>
      </c>
      <c r="J8" s="3" t="s">
        <v>34</v>
      </c>
      <c r="K8" s="3">
        <v>1</v>
      </c>
      <c r="L8" s="3">
        <v>26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ht="40" customHeight="1">
      <c r="A9" s="3" t="s">
        <v>19</v>
      </c>
      <c r="B9" s="3" t="s">
        <v>35</v>
      </c>
      <c r="C9" s="4" t="b">
        <v>0</v>
      </c>
      <c r="D9" s="4" t="b">
        <v>1</v>
      </c>
      <c r="E9" s="4" t="b">
        <v>0</v>
      </c>
      <c r="F9" s="3" t="s">
        <v>32</v>
      </c>
      <c r="G9" s="3" t="s">
        <v>36</v>
      </c>
      <c r="H9" s="3" t="s">
        <v>23</v>
      </c>
      <c r="I9" s="3" t="s">
        <v>33</v>
      </c>
      <c r="J9" s="3" t="s">
        <v>37</v>
      </c>
      <c r="K9" s="3">
        <v>1</v>
      </c>
      <c r="L9" s="3">
        <v>30</v>
      </c>
      <c r="M9" s="3">
        <v>0.01</v>
      </c>
      <c r="N9" s="3">
        <v>0.01</v>
      </c>
      <c r="O9" s="3">
        <v>0.02</v>
      </c>
      <c r="P9" s="3">
        <v>0.01</v>
      </c>
      <c r="Q9" s="3">
        <v>0.05</v>
      </c>
      <c r="R9" s="3">
        <v>2</v>
      </c>
      <c r="S9" s="3">
        <v>0</v>
      </c>
    </row>
    <row r="10" spans="1:19" ht="28" customHeight="1">
      <c r="A10" s="3" t="s">
        <v>19</v>
      </c>
      <c r="B10" s="3" t="s">
        <v>38</v>
      </c>
      <c r="C10" s="4" t="b">
        <v>0</v>
      </c>
      <c r="D10" s="4" t="b">
        <v>0</v>
      </c>
      <c r="E10" s="4" t="b">
        <v>1</v>
      </c>
      <c r="F10" s="3"/>
      <c r="G10" s="3" t="s">
        <v>39</v>
      </c>
      <c r="H10" s="3" t="s">
        <v>40</v>
      </c>
      <c r="I10" s="3" t="s">
        <v>33</v>
      </c>
      <c r="J10" s="3"/>
      <c r="K10" s="3">
        <v>0</v>
      </c>
      <c r="L10" s="3"/>
      <c r="M10" s="3"/>
      <c r="N10" s="3"/>
      <c r="O10" s="3"/>
      <c r="P10" s="3"/>
      <c r="Q10" s="3"/>
      <c r="R10" s="3"/>
      <c r="S10" s="3"/>
    </row>
    <row r="11" spans="1:19" ht="160" customHeight="1">
      <c r="A11" s="3" t="s">
        <v>19</v>
      </c>
      <c r="B11" s="3" t="s">
        <v>41</v>
      </c>
      <c r="C11" s="4" t="b">
        <v>1</v>
      </c>
      <c r="D11" s="4" t="b">
        <v>1</v>
      </c>
      <c r="E11" s="4" t="b">
        <v>0</v>
      </c>
      <c r="F11" s="3"/>
      <c r="G11" s="3" t="s">
        <v>22</v>
      </c>
      <c r="H11" s="3" t="s">
        <v>40</v>
      </c>
      <c r="I11" s="3" t="s">
        <v>42</v>
      </c>
      <c r="J11" s="3" t="s">
        <v>43</v>
      </c>
      <c r="K11" s="3">
        <v>0</v>
      </c>
      <c r="L11" s="3">
        <v>30</v>
      </c>
      <c r="M11" s="3">
        <v>0.14</v>
      </c>
      <c r="N11" s="3">
        <v>0.1</v>
      </c>
      <c r="O11" s="3">
        <v>0.21</v>
      </c>
      <c r="P11" s="3">
        <v>0.14</v>
      </c>
      <c r="Q11" s="3">
        <v>0.71</v>
      </c>
      <c r="R11" s="3">
        <v>22</v>
      </c>
      <c r="S11" s="3">
        <v>0</v>
      </c>
    </row>
    <row r="12" spans="1:19" ht="112" customHeight="1">
      <c r="A12" s="3" t="s">
        <v>19</v>
      </c>
      <c r="B12" s="3" t="s">
        <v>44</v>
      </c>
      <c r="C12" s="4" t="b">
        <v>1</v>
      </c>
      <c r="D12" s="4" t="b">
        <v>1</v>
      </c>
      <c r="E12" s="4" t="b">
        <v>0</v>
      </c>
      <c r="F12" s="3" t="s">
        <v>45</v>
      </c>
      <c r="G12" s="3" t="s">
        <v>22</v>
      </c>
      <c r="H12" s="3" t="s">
        <v>40</v>
      </c>
      <c r="I12" s="3" t="s">
        <v>46</v>
      </c>
      <c r="J12" s="3" t="s">
        <v>45</v>
      </c>
      <c r="K12" s="3">
        <v>0</v>
      </c>
      <c r="L12" s="3">
        <v>30</v>
      </c>
      <c r="M12" s="3">
        <v>3.13</v>
      </c>
      <c r="N12" s="3">
        <v>0</v>
      </c>
      <c r="O12" s="3">
        <v>50.73</v>
      </c>
      <c r="P12" s="3">
        <v>3.13</v>
      </c>
      <c r="Q12" s="3">
        <v>15.62</v>
      </c>
      <c r="R12" s="3">
        <v>475</v>
      </c>
      <c r="S12" s="3">
        <v>7</v>
      </c>
    </row>
    <row r="13" spans="1:19" ht="52" customHeight="1">
      <c r="A13" s="3" t="s">
        <v>47</v>
      </c>
      <c r="B13" s="3" t="s">
        <v>48</v>
      </c>
      <c r="C13" s="4" t="b">
        <v>0</v>
      </c>
      <c r="D13" s="4" t="b">
        <v>0</v>
      </c>
      <c r="E13" s="4" t="b">
        <v>0</v>
      </c>
      <c r="F13" s="3" t="s">
        <v>49</v>
      </c>
      <c r="G13" s="3" t="s">
        <v>50</v>
      </c>
      <c r="H13" s="3" t="s">
        <v>51</v>
      </c>
      <c r="I13" s="3" t="s">
        <v>52</v>
      </c>
      <c r="J13" s="3" t="s">
        <v>53</v>
      </c>
      <c r="K13" s="3">
        <v>0</v>
      </c>
      <c r="L13" s="3"/>
      <c r="M13" s="3"/>
      <c r="N13" s="3"/>
      <c r="O13" s="3"/>
      <c r="P13" s="3"/>
      <c r="Q13" s="3"/>
      <c r="R13" s="3"/>
      <c r="S13" s="3"/>
    </row>
    <row r="14" spans="1:19" ht="40" customHeight="1">
      <c r="A14" s="3" t="s">
        <v>54</v>
      </c>
      <c r="B14" s="3" t="s">
        <v>55</v>
      </c>
      <c r="C14" s="4" t="b">
        <v>1</v>
      </c>
      <c r="D14" s="4" t="b">
        <v>1</v>
      </c>
      <c r="E14" s="4" t="b">
        <v>0</v>
      </c>
      <c r="F14" s="3" t="s">
        <v>56</v>
      </c>
      <c r="G14" s="3" t="s">
        <v>22</v>
      </c>
      <c r="H14" s="3" t="s">
        <v>23</v>
      </c>
      <c r="I14" s="3" t="s">
        <v>57</v>
      </c>
      <c r="J14" s="3" t="s">
        <v>58</v>
      </c>
      <c r="K14" s="3">
        <v>0</v>
      </c>
      <c r="L14" s="3"/>
      <c r="M14" s="3"/>
      <c r="N14" s="3"/>
      <c r="O14" s="3"/>
      <c r="P14" s="3"/>
      <c r="Q14" s="3"/>
      <c r="R14" s="3"/>
      <c r="S14" s="3"/>
    </row>
    <row r="15" spans="1:19" ht="28" customHeight="1">
      <c r="A15" s="3" t="s">
        <v>19</v>
      </c>
      <c r="B15" s="3" t="s">
        <v>59</v>
      </c>
      <c r="C15" s="4" t="b">
        <v>0</v>
      </c>
      <c r="D15" s="4" t="b">
        <v>1</v>
      </c>
      <c r="E15" s="4" t="b">
        <v>0</v>
      </c>
      <c r="F15" s="3" t="s">
        <v>21</v>
      </c>
      <c r="G15" s="3" t="s">
        <v>36</v>
      </c>
      <c r="H15" s="3" t="s">
        <v>23</v>
      </c>
      <c r="I15" s="3" t="s">
        <v>24</v>
      </c>
      <c r="J15" s="3" t="s">
        <v>60</v>
      </c>
      <c r="K15" s="3">
        <v>0</v>
      </c>
      <c r="L15" s="3"/>
      <c r="M15" s="3"/>
      <c r="N15" s="3"/>
      <c r="O15" s="3"/>
      <c r="P15" s="3"/>
      <c r="Q15" s="3"/>
      <c r="R15" s="3"/>
      <c r="S15" s="3"/>
    </row>
    <row r="16" spans="1:19" ht="28" customHeight="1">
      <c r="A16" s="3" t="s">
        <v>61</v>
      </c>
      <c r="B16" s="3" t="s">
        <v>62</v>
      </c>
      <c r="C16" s="4" t="b">
        <v>1</v>
      </c>
      <c r="D16" s="4" t="b">
        <v>1</v>
      </c>
      <c r="E16" s="4" t="b">
        <v>1</v>
      </c>
      <c r="F16" s="3" t="s">
        <v>63</v>
      </c>
      <c r="G16" s="3" t="s">
        <v>22</v>
      </c>
      <c r="H16" s="3" t="s">
        <v>23</v>
      </c>
      <c r="I16" s="3" t="s">
        <v>64</v>
      </c>
      <c r="J16" s="3" t="s">
        <v>65</v>
      </c>
      <c r="K16" s="3">
        <v>1</v>
      </c>
      <c r="L16" s="5" t="s">
        <v>66</v>
      </c>
      <c r="M16" s="6">
        <v>0.5</v>
      </c>
      <c r="N16" s="7"/>
      <c r="O16" s="7"/>
      <c r="P16" s="7">
        <f>M16</f>
        <v>0.5</v>
      </c>
      <c r="Q16" s="7">
        <f>ROUND(P16*IF(C16,PriceAnalytics,PriceLake),2)</f>
        <v>2.49</v>
      </c>
      <c r="R16" s="7">
        <f>ROUND(P16*IF(C16,PriceAnalytics,PriceLake)*DaysPerMonth,0)</f>
        <v>76.0</v>
      </c>
      <c r="S16" s="7">
        <f>ROUND(M16*IF(C16,MAX(RetAnalyticsTotal-FreeRetDays,0),RetLakeTotal)/6*PriceStorage,0)</f>
        <v>1.0</v>
      </c>
    </row>
    <row r="17" spans="1:19" ht="28" customHeight="1">
      <c r="A17" s="3" t="s">
        <v>61</v>
      </c>
      <c r="B17" s="3" t="s">
        <v>67</v>
      </c>
      <c r="C17" s="4" t="b">
        <v>1</v>
      </c>
      <c r="D17" s="4" t="b">
        <v>1</v>
      </c>
      <c r="E17" s="4" t="b">
        <v>1</v>
      </c>
      <c r="F17" s="3" t="s">
        <v>68</v>
      </c>
      <c r="G17" s="3" t="s">
        <v>22</v>
      </c>
      <c r="H17" s="3" t="s">
        <v>23</v>
      </c>
      <c r="I17" s="3" t="s">
        <v>69</v>
      </c>
      <c r="J17" s="3" t="s">
        <v>70</v>
      </c>
      <c r="K17" s="3">
        <v>1</v>
      </c>
      <c r="L17" s="3">
        <v>30</v>
      </c>
      <c r="M17" s="3">
        <v>16.29</v>
      </c>
      <c r="N17" s="3">
        <v>3.83</v>
      </c>
      <c r="O17" s="3">
        <v>21.91</v>
      </c>
      <c r="P17" s="3">
        <v>16.29</v>
      </c>
      <c r="Q17" s="3">
        <v>81.19</v>
      </c>
      <c r="R17" s="3">
        <v>2470</v>
      </c>
      <c r="S17" s="3">
        <v>38</v>
      </c>
    </row>
    <row r="18" spans="1:19" ht="52" customHeight="1">
      <c r="A18" s="3" t="s">
        <v>61</v>
      </c>
      <c r="B18" s="3" t="s">
        <v>71</v>
      </c>
      <c r="C18" s="4" t="b">
        <v>1</v>
      </c>
      <c r="D18" s="4" t="b">
        <v>1</v>
      </c>
      <c r="E18" s="4" t="b">
        <v>1</v>
      </c>
      <c r="F18" s="3" t="s">
        <v>72</v>
      </c>
      <c r="G18" s="3" t="s">
        <v>22</v>
      </c>
      <c r="H18" s="3" t="s">
        <v>23</v>
      </c>
      <c r="I18" s="3" t="s">
        <v>73</v>
      </c>
      <c r="J18" s="3" t="s">
        <v>74</v>
      </c>
      <c r="K18" s="3">
        <v>0</v>
      </c>
      <c r="L18" s="3"/>
      <c r="M18" s="3"/>
      <c r="N18" s="3"/>
      <c r="O18" s="3"/>
      <c r="P18" s="3"/>
      <c r="Q18" s="3"/>
      <c r="R18" s="3"/>
      <c r="S18" s="3"/>
    </row>
    <row r="19" spans="1:19" ht="40" customHeight="1">
      <c r="A19" s="3" t="s">
        <v>61</v>
      </c>
      <c r="B19" s="3" t="s">
        <v>75</v>
      </c>
      <c r="C19" s="4" t="b">
        <v>1</v>
      </c>
      <c r="D19" s="4" t="b">
        <v>1</v>
      </c>
      <c r="E19" s="4" t="b">
        <v>1</v>
      </c>
      <c r="F19" s="3" t="s">
        <v>68</v>
      </c>
      <c r="G19" s="3" t="s">
        <v>22</v>
      </c>
      <c r="H19" s="3" t="s">
        <v>23</v>
      </c>
      <c r="I19" s="3" t="s">
        <v>69</v>
      </c>
      <c r="J19" s="3" t="s">
        <v>76</v>
      </c>
      <c r="K19" s="3">
        <v>0</v>
      </c>
      <c r="L19" s="3"/>
      <c r="M19" s="3"/>
      <c r="N19" s="3"/>
      <c r="O19" s="3"/>
      <c r="P19" s="3"/>
      <c r="Q19" s="3"/>
      <c r="R19" s="3"/>
      <c r="S19" s="3"/>
    </row>
    <row r="20" spans="1:19" ht="52" customHeight="1">
      <c r="A20" s="3" t="s">
        <v>61</v>
      </c>
      <c r="B20" s="3" t="s">
        <v>77</v>
      </c>
      <c r="C20" s="4" t="b">
        <v>1</v>
      </c>
      <c r="D20" s="4" t="b">
        <v>1</v>
      </c>
      <c r="E20" s="4" t="b">
        <v>1</v>
      </c>
      <c r="F20" s="3" t="s">
        <v>72</v>
      </c>
      <c r="G20" s="3" t="s">
        <v>22</v>
      </c>
      <c r="H20" s="3" t="s">
        <v>23</v>
      </c>
      <c r="I20" s="3" t="s">
        <v>73</v>
      </c>
      <c r="J20" s="3" t="s">
        <v>74</v>
      </c>
      <c r="K20" s="3">
        <v>0</v>
      </c>
      <c r="L20" s="3"/>
      <c r="M20" s="3"/>
      <c r="N20" s="3"/>
      <c r="O20" s="3"/>
      <c r="P20" s="3"/>
      <c r="Q20" s="3"/>
      <c r="R20" s="3"/>
      <c r="S20" s="3"/>
    </row>
    <row r="21" spans="1:19" ht="52" customHeight="1">
      <c r="A21" s="3" t="s">
        <v>61</v>
      </c>
      <c r="B21" s="3" t="s">
        <v>78</v>
      </c>
      <c r="C21" s="4" t="b">
        <v>1</v>
      </c>
      <c r="D21" s="4" t="b">
        <v>1</v>
      </c>
      <c r="E21" s="4" t="b">
        <v>1</v>
      </c>
      <c r="F21" s="3" t="s">
        <v>72</v>
      </c>
      <c r="G21" s="3" t="s">
        <v>22</v>
      </c>
      <c r="H21" s="3" t="s">
        <v>23</v>
      </c>
      <c r="I21" s="3" t="s">
        <v>73</v>
      </c>
      <c r="J21" s="3" t="s">
        <v>74</v>
      </c>
      <c r="K21" s="3">
        <v>0</v>
      </c>
      <c r="L21" s="3"/>
      <c r="M21" s="3"/>
      <c r="N21" s="3"/>
      <c r="O21" s="3"/>
      <c r="P21" s="3"/>
      <c r="Q21" s="3"/>
      <c r="R21" s="3"/>
      <c r="S21" s="3"/>
    </row>
    <row r="22" spans="1:19" ht="52" customHeight="1">
      <c r="A22" s="3" t="s">
        <v>61</v>
      </c>
      <c r="B22" s="3" t="s">
        <v>71</v>
      </c>
      <c r="C22" s="4" t="b">
        <v>1</v>
      </c>
      <c r="D22" s="4" t="b">
        <v>1</v>
      </c>
      <c r="E22" s="4" t="b">
        <v>1</v>
      </c>
      <c r="F22" s="3" t="s">
        <v>72</v>
      </c>
      <c r="G22" s="3" t="s">
        <v>22</v>
      </c>
      <c r="H22" s="3" t="s">
        <v>23</v>
      </c>
      <c r="I22" s="3" t="s">
        <v>73</v>
      </c>
      <c r="J22" s="3" t="s">
        <v>74</v>
      </c>
      <c r="K22" s="3">
        <v>0</v>
      </c>
      <c r="L22" s="3"/>
      <c r="M22" s="3"/>
      <c r="N22" s="3"/>
      <c r="O22" s="3"/>
      <c r="P22" s="3"/>
      <c r="Q22" s="3"/>
      <c r="R22" s="3"/>
      <c r="S22" s="3"/>
    </row>
    <row r="23" spans="1:19" ht="40" customHeight="1">
      <c r="A23" s="3" t="s">
        <v>61</v>
      </c>
      <c r="B23" s="3" t="s">
        <v>75</v>
      </c>
      <c r="C23" s="4" t="b">
        <v>1</v>
      </c>
      <c r="D23" s="4" t="b">
        <v>1</v>
      </c>
      <c r="E23" s="4" t="b">
        <v>1</v>
      </c>
      <c r="F23" s="3" t="s">
        <v>68</v>
      </c>
      <c r="G23" s="3" t="s">
        <v>22</v>
      </c>
      <c r="H23" s="3" t="s">
        <v>23</v>
      </c>
      <c r="I23" s="3" t="s">
        <v>69</v>
      </c>
      <c r="J23" s="3" t="s">
        <v>76</v>
      </c>
      <c r="K23" s="3">
        <v>0</v>
      </c>
      <c r="L23" s="3"/>
      <c r="M23" s="3"/>
      <c r="N23" s="3"/>
      <c r="O23" s="3"/>
      <c r="P23" s="3"/>
      <c r="Q23" s="3"/>
      <c r="R23" s="3"/>
      <c r="S23" s="3"/>
    </row>
    <row r="24" spans="1:19" ht="52" customHeight="1">
      <c r="A24" s="3" t="s">
        <v>61</v>
      </c>
      <c r="B24" s="3" t="s">
        <v>77</v>
      </c>
      <c r="C24" s="4" t="b">
        <v>1</v>
      </c>
      <c r="D24" s="4" t="b">
        <v>1</v>
      </c>
      <c r="E24" s="4" t="b">
        <v>1</v>
      </c>
      <c r="F24" s="3" t="s">
        <v>72</v>
      </c>
      <c r="G24" s="3" t="s">
        <v>22</v>
      </c>
      <c r="H24" s="3" t="s">
        <v>23</v>
      </c>
      <c r="I24" s="3" t="s">
        <v>73</v>
      </c>
      <c r="J24" s="3" t="s">
        <v>74</v>
      </c>
      <c r="K24" s="3">
        <v>0</v>
      </c>
      <c r="L24" s="3"/>
      <c r="M24" s="3"/>
      <c r="N24" s="3"/>
      <c r="O24" s="3"/>
      <c r="P24" s="3"/>
      <c r="Q24" s="3"/>
      <c r="R24" s="3"/>
      <c r="S24" s="3"/>
    </row>
    <row r="25" spans="1:19" ht="52" customHeight="1">
      <c r="A25" s="3" t="s">
        <v>61</v>
      </c>
      <c r="B25" s="3" t="s">
        <v>78</v>
      </c>
      <c r="C25" s="4" t="b">
        <v>1</v>
      </c>
      <c r="D25" s="4" t="b">
        <v>1</v>
      </c>
      <c r="E25" s="4" t="b">
        <v>1</v>
      </c>
      <c r="F25" s="3" t="s">
        <v>72</v>
      </c>
      <c r="G25" s="3" t="s">
        <v>22</v>
      </c>
      <c r="H25" s="3" t="s">
        <v>23</v>
      </c>
      <c r="I25" s="3" t="s">
        <v>73</v>
      </c>
      <c r="J25" s="3" t="s">
        <v>74</v>
      </c>
      <c r="K25" s="3">
        <v>0</v>
      </c>
      <c r="L25" s="3"/>
      <c r="M25" s="3"/>
      <c r="N25" s="3"/>
      <c r="O25" s="3"/>
      <c r="P25" s="3"/>
      <c r="Q25" s="3"/>
      <c r="R25" s="3"/>
      <c r="S25" s="3"/>
    </row>
    <row r="26" spans="1:19" ht="40" customHeight="1">
      <c r="A26" s="3" t="s">
        <v>61</v>
      </c>
      <c r="B26" s="3" t="s">
        <v>79</v>
      </c>
      <c r="C26" s="4" t="b">
        <v>1</v>
      </c>
      <c r="D26" s="4" t="b">
        <v>1</v>
      </c>
      <c r="E26" s="4" t="b">
        <v>1</v>
      </c>
      <c r="F26" s="3" t="s">
        <v>63</v>
      </c>
      <c r="G26" s="3" t="s">
        <v>22</v>
      </c>
      <c r="H26" s="3" t="s">
        <v>23</v>
      </c>
      <c r="I26" s="3" t="s">
        <v>80</v>
      </c>
      <c r="J26" s="3" t="s">
        <v>81</v>
      </c>
      <c r="K26" s="3">
        <v>1</v>
      </c>
      <c r="L26" s="3">
        <v>30</v>
      </c>
      <c r="M26" s="3">
        <v>0.57</v>
      </c>
      <c r="N26" s="3">
        <v>0.05</v>
      </c>
      <c r="O26" s="3">
        <v>1.69</v>
      </c>
      <c r="P26" s="3">
        <v>0.57</v>
      </c>
      <c r="Q26" s="3">
        <v>2.85</v>
      </c>
      <c r="R26" s="3">
        <v>87</v>
      </c>
      <c r="S26" s="3">
        <v>1</v>
      </c>
    </row>
    <row r="27" spans="1:19" ht="28" customHeight="1">
      <c r="A27" s="3" t="s">
        <v>61</v>
      </c>
      <c r="B27" s="3" t="s">
        <v>82</v>
      </c>
      <c r="C27" s="4" t="b">
        <v>0</v>
      </c>
      <c r="D27" s="4" t="b">
        <v>1</v>
      </c>
      <c r="E27" s="4" t="b">
        <v>1</v>
      </c>
      <c r="F27" s="3" t="s">
        <v>45</v>
      </c>
      <c r="G27" s="3" t="s">
        <v>22</v>
      </c>
      <c r="H27" s="3" t="s">
        <v>51</v>
      </c>
      <c r="I27" s="3" t="s">
        <v>83</v>
      </c>
      <c r="J27" s="3"/>
      <c r="K27" s="3">
        <v>1</v>
      </c>
      <c r="L27" s="5" t="s">
        <v>66</v>
      </c>
      <c r="M27" s="6">
        <v>0.5</v>
      </c>
      <c r="N27" s="7"/>
      <c r="O27" s="7"/>
      <c r="P27" s="7">
        <f>M27</f>
        <v>0.5</v>
      </c>
      <c r="Q27" s="7">
        <f>ROUND(P27*IF(C27,PriceAnalytics,PriceLake),2)</f>
        <v>0.09</v>
      </c>
      <c r="R27" s="7">
        <f>ROUND(P27*IF(C27,PriceAnalytics,PriceLake)*DaysPerMonth,0)</f>
        <v>3.0</v>
      </c>
      <c r="S27" s="7">
        <f>ROUND(M27*IF(C27,MAX(RetAnalyticsTotal-FreeRetDays,0),RetLakeTotal)/6*PriceStorage,0)</f>
        <v>1.0</v>
      </c>
    </row>
    <row r="28" spans="1:19" ht="28" customHeight="1">
      <c r="A28" s="3" t="s">
        <v>61</v>
      </c>
      <c r="B28" s="3" t="s">
        <v>84</v>
      </c>
      <c r="C28" s="4" t="b">
        <v>1</v>
      </c>
      <c r="D28" s="4" t="b">
        <v>1</v>
      </c>
      <c r="E28" s="4" t="b">
        <v>0</v>
      </c>
      <c r="F28" s="3" t="s">
        <v>85</v>
      </c>
      <c r="G28" s="3" t="s">
        <v>22</v>
      </c>
      <c r="H28" s="3" t="s">
        <v>23</v>
      </c>
      <c r="I28" s="3" t="s">
        <v>86</v>
      </c>
      <c r="J28" s="3" t="s">
        <v>87</v>
      </c>
      <c r="K28" s="3">
        <v>1</v>
      </c>
      <c r="L28" s="3">
        <v>30</v>
      </c>
      <c r="M28" s="3">
        <v>0.01</v>
      </c>
      <c r="N28" s="3">
        <v>0</v>
      </c>
      <c r="O28" s="3">
        <v>0.1</v>
      </c>
      <c r="P28" s="3">
        <v>0.01</v>
      </c>
      <c r="Q28" s="3">
        <v>0.07000000000000001</v>
      </c>
      <c r="R28" s="3">
        <v>2</v>
      </c>
      <c r="S28" s="3">
        <v>0</v>
      </c>
    </row>
    <row r="29" spans="1:19" ht="28" customHeight="1">
      <c r="A29" s="8" t="s">
        <v>61</v>
      </c>
      <c r="B29" s="8" t="s">
        <v>88</v>
      </c>
      <c r="C29" s="4" t="b">
        <v>1</v>
      </c>
      <c r="D29" s="4" t="b">
        <v>1</v>
      </c>
      <c r="E29" s="4" t="b">
        <v>0</v>
      </c>
      <c r="F29" s="3" t="s">
        <v>45</v>
      </c>
      <c r="G29" s="3" t="s">
        <v>22</v>
      </c>
      <c r="H29" s="3" t="s">
        <v>51</v>
      </c>
      <c r="I29" s="3" t="s">
        <v>88</v>
      </c>
      <c r="J29" s="3"/>
      <c r="K29" s="3">
        <v>1</v>
      </c>
      <c r="L29" s="5" t="s">
        <v>66</v>
      </c>
      <c r="M29" s="6">
        <v>2</v>
      </c>
      <c r="N29" s="7"/>
      <c r="O29" s="7"/>
      <c r="P29" s="7">
        <f>M29</f>
        <v>2</v>
      </c>
      <c r="Q29" s="7">
        <f>ROUND(P29*IF(C29,PriceAnalytics,PriceLake),2)</f>
        <v>9.97</v>
      </c>
      <c r="R29" s="7">
        <f>ROUND(P29*IF(C29,PriceAnalytics,PriceLake)*DaysPerMonth,0)</f>
        <v>303.0</v>
      </c>
      <c r="S29" s="7">
        <f>ROUND(M29*IF(C29,MAX(RetAnalyticsTotal-FreeRetDays,0),RetLakeTotal)/6*PriceStorage,0)</f>
        <v>5.0</v>
      </c>
    </row>
    <row r="30" spans="1:19" ht="28" customHeight="1">
      <c r="A30" s="3" t="s">
        <v>89</v>
      </c>
      <c r="B30" s="3" t="s">
        <v>90</v>
      </c>
      <c r="C30" s="4" t="b">
        <v>1</v>
      </c>
      <c r="D30" s="4" t="b">
        <v>1</v>
      </c>
      <c r="E30" s="4" t="b">
        <v>1</v>
      </c>
      <c r="F30" s="3" t="s">
        <v>91</v>
      </c>
      <c r="G30" s="3" t="s">
        <v>22</v>
      </c>
      <c r="H30" s="3" t="s">
        <v>23</v>
      </c>
      <c r="I30" s="3" t="s">
        <v>92</v>
      </c>
      <c r="J30" s="3" t="s">
        <v>93</v>
      </c>
      <c r="K30" s="3">
        <v>1</v>
      </c>
      <c r="L30" s="3">
        <v>30</v>
      </c>
      <c r="M30" s="3">
        <v>23.33</v>
      </c>
      <c r="N30" s="3">
        <v>2.81</v>
      </c>
      <c r="O30" s="3">
        <v>159.65</v>
      </c>
      <c r="P30" s="3">
        <v>23.33</v>
      </c>
      <c r="Q30" s="3">
        <v>116.28</v>
      </c>
      <c r="R30" s="3">
        <v>3537</v>
      </c>
      <c r="S30" s="3">
        <v>55</v>
      </c>
    </row>
    <row r="31" spans="1:19" ht="28" customHeight="1">
      <c r="A31" s="8" t="s">
        <v>89</v>
      </c>
      <c r="B31" s="8" t="s">
        <v>94</v>
      </c>
      <c r="C31" s="4" t="b">
        <v>0</v>
      </c>
      <c r="D31" s="4" t="b">
        <v>1</v>
      </c>
      <c r="E31" s="4" t="b">
        <v>1</v>
      </c>
      <c r="F31" s="3" t="s">
        <v>91</v>
      </c>
      <c r="G31" s="3" t="s">
        <v>22</v>
      </c>
      <c r="H31" s="3" t="s">
        <v>23</v>
      </c>
      <c r="I31" s="3" t="s">
        <v>92</v>
      </c>
      <c r="J31" s="3" t="s">
        <v>95</v>
      </c>
      <c r="K31" s="3">
        <v>1</v>
      </c>
      <c r="L31" s="3">
        <v>12</v>
      </c>
      <c r="M31" s="3">
        <v>48.4</v>
      </c>
      <c r="N31" s="3">
        <v>2.14</v>
      </c>
      <c r="O31" s="3">
        <v>66.59999999999999</v>
      </c>
      <c r="P31" s="3">
        <v>48.4</v>
      </c>
      <c r="Q31" s="3">
        <v>8.640000000000001</v>
      </c>
      <c r="R31" s="3">
        <v>263</v>
      </c>
      <c r="S31" s="3">
        <v>65</v>
      </c>
    </row>
    <row r="32" spans="1:19" ht="40" customHeight="1">
      <c r="A32" s="8" t="s">
        <v>89</v>
      </c>
      <c r="B32" s="8" t="s">
        <v>96</v>
      </c>
      <c r="C32" s="4" t="b">
        <v>1</v>
      </c>
      <c r="D32" s="4" t="b">
        <v>0</v>
      </c>
      <c r="E32" s="4" t="b">
        <v>0</v>
      </c>
      <c r="F32" s="3" t="s">
        <v>91</v>
      </c>
      <c r="G32" s="3" t="s">
        <v>22</v>
      </c>
      <c r="H32" s="3" t="s">
        <v>97</v>
      </c>
      <c r="I32" s="3" t="s">
        <v>92</v>
      </c>
      <c r="J32" s="3" t="s">
        <v>98</v>
      </c>
      <c r="K32" s="3">
        <v>2</v>
      </c>
      <c r="L32" s="5" t="s">
        <v>66</v>
      </c>
      <c r="M32" s="6">
        <v>14.52</v>
      </c>
      <c r="N32" s="7"/>
      <c r="O32" s="7"/>
      <c r="P32" s="7">
        <f>M32</f>
        <v>14.52</v>
      </c>
      <c r="Q32" s="7">
        <f>ROUND(P32*IF(C32,PriceAnalytics,PriceLake),2)</f>
        <v>72.37</v>
      </c>
      <c r="R32" s="7">
        <f>ROUND(P32*IF(C32,PriceAnalytics,PriceLake)*DaysPerMonth,0)</f>
        <v>2201.0</v>
      </c>
      <c r="S32" s="7">
        <f>ROUND(M32*IF(C32,MAX(RetAnalyticsTotal-FreeRetDays,0),RetLakeTotal)/6*PriceStorage,0)</f>
        <v>34.0</v>
      </c>
    </row>
    <row r="33" spans="1:19" ht="28" customHeight="1">
      <c r="A33" s="8" t="s">
        <v>89</v>
      </c>
      <c r="B33" s="8" t="s">
        <v>99</v>
      </c>
      <c r="C33" s="4" t="b">
        <v>0</v>
      </c>
      <c r="D33" s="4" t="b">
        <v>1</v>
      </c>
      <c r="E33" s="4" t="b">
        <v>1</v>
      </c>
      <c r="F33" s="3" t="s">
        <v>91</v>
      </c>
      <c r="G33" s="3" t="s">
        <v>22</v>
      </c>
      <c r="H33" s="3" t="s">
        <v>23</v>
      </c>
      <c r="I33" s="3" t="s">
        <v>92</v>
      </c>
      <c r="J33" s="3" t="s">
        <v>100</v>
      </c>
      <c r="K33" s="3">
        <v>1</v>
      </c>
      <c r="L33" s="3">
        <v>13</v>
      </c>
      <c r="M33" s="3">
        <v>112.14</v>
      </c>
      <c r="N33" s="3">
        <v>6.88</v>
      </c>
      <c r="O33" s="3">
        <v>186.15</v>
      </c>
      <c r="P33" s="3">
        <v>112.14</v>
      </c>
      <c r="Q33" s="3">
        <v>20.02</v>
      </c>
      <c r="R33" s="3">
        <v>609</v>
      </c>
      <c r="S33" s="3">
        <v>150</v>
      </c>
    </row>
    <row r="34" spans="1:19" ht="28" customHeight="1">
      <c r="A34" s="8" t="s">
        <v>89</v>
      </c>
      <c r="B34" s="8" t="s">
        <v>101</v>
      </c>
      <c r="C34" s="4" t="b">
        <v>1</v>
      </c>
      <c r="D34" s="4" t="b">
        <v>0</v>
      </c>
      <c r="E34" s="4" t="b">
        <v>0</v>
      </c>
      <c r="F34" s="3" t="s">
        <v>91</v>
      </c>
      <c r="G34" s="3" t="s">
        <v>22</v>
      </c>
      <c r="H34" s="3" t="s">
        <v>97</v>
      </c>
      <c r="I34" s="3" t="s">
        <v>92</v>
      </c>
      <c r="J34" s="3" t="s">
        <v>102</v>
      </c>
      <c r="K34" s="3">
        <v>2</v>
      </c>
      <c r="L34" s="5" t="s">
        <v>66</v>
      </c>
      <c r="M34" s="6">
        <v>28.04</v>
      </c>
      <c r="N34" s="7"/>
      <c r="O34" s="7"/>
      <c r="P34" s="7">
        <f>M34</f>
        <v>28.04</v>
      </c>
      <c r="Q34" s="7">
        <f>ROUND(P34*IF(C34,PriceAnalytics,PriceLake),2)</f>
        <v>139.76</v>
      </c>
      <c r="R34" s="7">
        <f>ROUND(P34*IF(C34,PriceAnalytics,PriceLake)*DaysPerMonth,0)</f>
        <v>4251.0</v>
      </c>
      <c r="S34" s="7">
        <f>ROUND(M34*IF(C34,MAX(RetAnalyticsTotal-FreeRetDays,0),RetLakeTotal)/6*PriceStorage,0)</f>
        <v>66.0</v>
      </c>
    </row>
    <row r="35" spans="1:19" ht="28" customHeight="1">
      <c r="A35" s="3" t="s">
        <v>89</v>
      </c>
      <c r="B35" s="3" t="s">
        <v>103</v>
      </c>
      <c r="C35" s="4" t="b">
        <v>0</v>
      </c>
      <c r="D35" s="4" t="b">
        <v>0</v>
      </c>
      <c r="E35" s="4" t="b">
        <v>1</v>
      </c>
      <c r="F35" s="3" t="s">
        <v>45</v>
      </c>
      <c r="G35" s="3" t="s">
        <v>50</v>
      </c>
      <c r="H35" s="3" t="s">
        <v>51</v>
      </c>
      <c r="I35" s="3" t="s">
        <v>92</v>
      </c>
      <c r="J35" s="3"/>
      <c r="K35" s="3">
        <v>0</v>
      </c>
      <c r="L35" s="3"/>
      <c r="M35" s="3"/>
      <c r="N35" s="3"/>
      <c r="O35" s="3"/>
      <c r="P35" s="3"/>
      <c r="Q35" s="3"/>
      <c r="R35" s="3"/>
      <c r="S35" s="3"/>
    </row>
    <row r="36" spans="1:19" ht="24" customHeight="1">
      <c r="A36" s="9" t="s">
        <v>89</v>
      </c>
      <c r="B36" s="9" t="s">
        <v>104</v>
      </c>
      <c r="C36" s="4" t="b">
        <v>0</v>
      </c>
      <c r="D36" s="4" t="b">
        <v>1</v>
      </c>
      <c r="E36" s="4" t="b">
        <v>1</v>
      </c>
      <c r="F36" s="3"/>
      <c r="G36" s="3" t="s">
        <v>36</v>
      </c>
      <c r="H36" s="3" t="s">
        <v>40</v>
      </c>
      <c r="I36" s="3"/>
      <c r="J36" s="3"/>
      <c r="K36" s="3">
        <v>1</v>
      </c>
      <c r="L36" s="5" t="s">
        <v>66</v>
      </c>
      <c r="M36" s="6">
        <v>10</v>
      </c>
      <c r="N36" s="7"/>
      <c r="O36" s="7"/>
      <c r="P36" s="7">
        <f>M36</f>
        <v>10</v>
      </c>
      <c r="Q36" s="7">
        <f>ROUND(P36*IF(C36,PriceAnalytics,PriceLake),2)</f>
        <v>1.79</v>
      </c>
      <c r="R36" s="7">
        <f>ROUND(P36*IF(C36,PriceAnalytics,PriceLake)*DaysPerMonth,0)</f>
        <v>54.0</v>
      </c>
      <c r="S36" s="7">
        <f>ROUND(M36*IF(C36,MAX(RetAnalyticsTotal-FreeRetDays,0),RetLakeTotal)/6*PriceStorage,0)</f>
        <v>13.0</v>
      </c>
    </row>
    <row r="37" spans="1:19" ht="24" customHeight="1">
      <c r="A37" s="3" t="s">
        <v>89</v>
      </c>
      <c r="B37" s="3" t="s">
        <v>105</v>
      </c>
      <c r="C37" s="4" t="b">
        <v>0</v>
      </c>
      <c r="D37" s="4" t="b">
        <v>0</v>
      </c>
      <c r="E37" s="4" t="b">
        <v>1</v>
      </c>
      <c r="F37" s="3"/>
      <c r="G37" s="3" t="s">
        <v>50</v>
      </c>
      <c r="H37" s="3" t="s">
        <v>40</v>
      </c>
      <c r="I37" s="3"/>
      <c r="J37" s="3"/>
      <c r="K37" s="3">
        <v>0</v>
      </c>
      <c r="L37" s="3"/>
      <c r="M37" s="3"/>
      <c r="N37" s="3"/>
      <c r="O37" s="3"/>
      <c r="P37" s="3"/>
      <c r="Q37" s="3"/>
      <c r="R37" s="3"/>
      <c r="S37" s="3"/>
    </row>
    <row r="38" spans="1:19" ht="28" customHeight="1">
      <c r="A38" s="3" t="s">
        <v>89</v>
      </c>
      <c r="B38" s="3" t="s">
        <v>106</v>
      </c>
      <c r="C38" s="4" t="b">
        <v>0</v>
      </c>
      <c r="D38" s="4" t="b">
        <v>1</v>
      </c>
      <c r="E38" s="4" t="b">
        <v>0</v>
      </c>
      <c r="F38" s="3"/>
      <c r="G38" s="3" t="s">
        <v>22</v>
      </c>
      <c r="H38" s="3" t="s">
        <v>40</v>
      </c>
      <c r="I38" s="3"/>
      <c r="J38" s="3"/>
      <c r="K38" s="3">
        <v>1</v>
      </c>
      <c r="L38" s="5" t="s">
        <v>66</v>
      </c>
      <c r="M38" s="6">
        <v>0.1</v>
      </c>
      <c r="N38" s="7"/>
      <c r="O38" s="7"/>
      <c r="P38" s="7">
        <f>M38</f>
        <v>0.1</v>
      </c>
      <c r="Q38" s="7">
        <f>ROUND(P38*IF(C38,PriceAnalytics,PriceLake),2)</f>
        <v>0.02</v>
      </c>
      <c r="R38" s="7">
        <f>ROUND(P38*IF(C38,PriceAnalytics,PriceLake)*DaysPerMonth,0)</f>
        <v>1.0</v>
      </c>
      <c r="S38" s="7">
        <f>ROUND(M38*IF(C38,MAX(RetAnalyticsTotal-FreeRetDays,0),RetLakeTotal)/6*PriceStorage,0)</f>
        <v>0.0</v>
      </c>
    </row>
    <row r="39" spans="1:19" ht="40" customHeight="1">
      <c r="A39" s="3" t="s">
        <v>107</v>
      </c>
      <c r="B39" s="3" t="s">
        <v>108</v>
      </c>
      <c r="C39" s="4" t="b">
        <v>0</v>
      </c>
      <c r="D39" s="4" t="b">
        <v>1</v>
      </c>
      <c r="E39" s="4" t="b">
        <v>1</v>
      </c>
      <c r="F39" s="3" t="s">
        <v>109</v>
      </c>
      <c r="G39" s="3" t="s">
        <v>36</v>
      </c>
      <c r="H39" s="3" t="s">
        <v>40</v>
      </c>
      <c r="I39" s="3" t="s">
        <v>110</v>
      </c>
      <c r="J39" s="3"/>
      <c r="K39" s="3">
        <v>1</v>
      </c>
      <c r="L39" s="5" t="s">
        <v>66</v>
      </c>
      <c r="M39" s="6">
        <v>3</v>
      </c>
      <c r="N39" s="7"/>
      <c r="O39" s="7"/>
      <c r="P39" s="7">
        <f>M39</f>
        <v>3</v>
      </c>
      <c r="Q39" s="7">
        <f>ROUND(P39*IF(C39,PriceAnalytics,PriceLake),2)</f>
        <v>0.54</v>
      </c>
      <c r="R39" s="7">
        <f>ROUND(P39*IF(C39,PriceAnalytics,PriceLake)*DaysPerMonth,0)</f>
        <v>16.0</v>
      </c>
      <c r="S39" s="7">
        <f>ROUND(M39*IF(C39,MAX(RetAnalyticsTotal-FreeRetDays,0),RetLakeTotal)/6*PriceStorage,0)</f>
        <v>4.0</v>
      </c>
    </row>
    <row r="40" spans="1:19" ht="40" customHeight="1">
      <c r="A40" s="3" t="s">
        <v>107</v>
      </c>
      <c r="B40" s="3" t="s">
        <v>108</v>
      </c>
      <c r="C40" s="4" t="b">
        <v>0</v>
      </c>
      <c r="D40" s="4" t="b">
        <v>1</v>
      </c>
      <c r="E40" s="4" t="b">
        <v>1</v>
      </c>
      <c r="F40" s="3" t="s">
        <v>109</v>
      </c>
      <c r="G40" s="3" t="s">
        <v>36</v>
      </c>
      <c r="H40" s="3" t="s">
        <v>23</v>
      </c>
      <c r="I40" s="3" t="s">
        <v>111</v>
      </c>
      <c r="J40" s="3" t="s">
        <v>112</v>
      </c>
      <c r="K40" s="3">
        <v>1</v>
      </c>
      <c r="L40" s="3">
        <v>30</v>
      </c>
      <c r="M40" s="3">
        <v>0.09</v>
      </c>
      <c r="N40" s="3">
        <v>0.05</v>
      </c>
      <c r="O40" s="3">
        <v>0.15</v>
      </c>
      <c r="P40" s="3">
        <v>0</v>
      </c>
      <c r="Q40" s="3">
        <v>0</v>
      </c>
      <c r="R40" s="3">
        <v>0</v>
      </c>
      <c r="S40" s="3">
        <v>0</v>
      </c>
    </row>
    <row r="41" spans="1:19" ht="28" customHeight="1">
      <c r="A41" s="3" t="s">
        <v>107</v>
      </c>
      <c r="B41" s="3" t="s">
        <v>113</v>
      </c>
      <c r="C41" s="4" t="b">
        <v>1</v>
      </c>
      <c r="D41" s="4" t="b">
        <v>1</v>
      </c>
      <c r="E41" s="4" t="b">
        <v>1</v>
      </c>
      <c r="F41" s="3" t="s">
        <v>109</v>
      </c>
      <c r="G41" s="3" t="s">
        <v>22</v>
      </c>
      <c r="H41" s="3" t="s">
        <v>97</v>
      </c>
      <c r="I41" s="3" t="s">
        <v>114</v>
      </c>
      <c r="J41" s="3" t="s">
        <v>115</v>
      </c>
      <c r="K41" s="3">
        <v>1</v>
      </c>
      <c r="L41" s="5" t="s">
        <v>66</v>
      </c>
      <c r="M41" s="6">
        <v>0.05</v>
      </c>
      <c r="N41" s="7"/>
      <c r="O41" s="7"/>
      <c r="P41" s="7">
        <f>M41</f>
        <v>0.05</v>
      </c>
      <c r="Q41" s="7">
        <f>ROUND(P41*IF(C41,PriceAnalytics,PriceLake),2)</f>
        <v>0.25</v>
      </c>
      <c r="R41" s="7">
        <f>ROUND(P41*IF(C41,PriceAnalytics,PriceLake)*DaysPerMonth,0)</f>
        <v>8.0</v>
      </c>
      <c r="S41" s="7">
        <f>ROUND(M41*IF(C41,MAX(RetAnalyticsTotal-FreeRetDays,0),RetLakeTotal)/6*PriceStorage,0)</f>
        <v>0.0</v>
      </c>
    </row>
    <row r="42" spans="1:19" ht="64" customHeight="1">
      <c r="A42" s="3" t="s">
        <v>107</v>
      </c>
      <c r="B42" s="3" t="s">
        <v>116</v>
      </c>
      <c r="C42" s="4" t="b">
        <v>1</v>
      </c>
      <c r="D42" s="4" t="b">
        <v>1</v>
      </c>
      <c r="E42" s="4" t="b">
        <v>1</v>
      </c>
      <c r="F42" s="3" t="s">
        <v>109</v>
      </c>
      <c r="G42" s="3" t="s">
        <v>22</v>
      </c>
      <c r="H42" s="3" t="s">
        <v>117</v>
      </c>
      <c r="I42" s="3" t="s">
        <v>118</v>
      </c>
      <c r="J42" s="3"/>
      <c r="K42" s="3">
        <v>1</v>
      </c>
      <c r="L42" s="5" t="s">
        <v>66</v>
      </c>
      <c r="M42" s="6">
        <v>0</v>
      </c>
      <c r="N42" s="7"/>
      <c r="O42" s="7"/>
      <c r="P42" s="7">
        <f>M42</f>
        <v>0</v>
      </c>
      <c r="Q42" s="7">
        <f>ROUND(P42*IF(C42,PriceAnalytics,PriceLake),2)</f>
        <v>0.0</v>
      </c>
      <c r="R42" s="7">
        <f>ROUND(P42*IF(C42,PriceAnalytics,PriceLake)*DaysPerMonth,0)</f>
        <v>0.0</v>
      </c>
      <c r="S42" s="7">
        <f>ROUND(M42*IF(C42,MAX(RetAnalyticsTotal-FreeRetDays,0),RetLakeTotal)/6*PriceStorage,0)</f>
        <v>0.0</v>
      </c>
    </row>
    <row r="43" spans="1:19" ht="28" customHeight="1">
      <c r="A43" s="3" t="s">
        <v>107</v>
      </c>
      <c r="B43" s="3" t="s">
        <v>119</v>
      </c>
      <c r="C43" s="4" t="b">
        <v>1</v>
      </c>
      <c r="D43" s="4" t="b">
        <v>1</v>
      </c>
      <c r="E43" s="4" t="b">
        <v>1</v>
      </c>
      <c r="F43" s="3" t="s">
        <v>120</v>
      </c>
      <c r="G43" s="3" t="s">
        <v>22</v>
      </c>
      <c r="H43" s="3" t="s">
        <v>97</v>
      </c>
      <c r="I43" s="3" t="s">
        <v>121</v>
      </c>
      <c r="J43" s="3"/>
      <c r="K43" s="3">
        <v>1</v>
      </c>
      <c r="L43" s="5" t="s">
        <v>66</v>
      </c>
      <c r="M43" s="6">
        <v>0.02</v>
      </c>
      <c r="N43" s="7"/>
      <c r="O43" s="7"/>
      <c r="P43" s="7">
        <v>0</v>
      </c>
      <c r="Q43" s="7">
        <f>ROUND(P43*IF(C43,PriceAnalytics,PriceLake),2)</f>
        <v>0.0</v>
      </c>
      <c r="R43" s="7">
        <f>ROUND(P43*IF(C43,PriceAnalytics,PriceLake)*DaysPerMonth,0)</f>
        <v>0.0</v>
      </c>
      <c r="S43" s="7">
        <f>ROUND(M43*IF(C43,MAX(RetAnalyticsTotal-FreeRetDays,0),RetLakeTotal)/6*PriceStorage,0)</f>
        <v>0.0</v>
      </c>
    </row>
    <row r="44" spans="1:19" ht="28" customHeight="1">
      <c r="A44" s="3" t="s">
        <v>107</v>
      </c>
      <c r="B44" s="3" t="s">
        <v>122</v>
      </c>
      <c r="C44" s="4" t="b">
        <v>1</v>
      </c>
      <c r="D44" s="4" t="b">
        <v>1</v>
      </c>
      <c r="E44" s="4" t="b">
        <v>1</v>
      </c>
      <c r="F44" s="3" t="s">
        <v>109</v>
      </c>
      <c r="G44" s="3" t="s">
        <v>22</v>
      </c>
      <c r="H44" s="3" t="s">
        <v>51</v>
      </c>
      <c r="I44" s="3" t="s">
        <v>123</v>
      </c>
      <c r="J44" s="3"/>
      <c r="K44" s="3">
        <v>1</v>
      </c>
      <c r="L44" s="5" t="s">
        <v>66</v>
      </c>
      <c r="M44" s="6">
        <v>20</v>
      </c>
      <c r="N44" s="7"/>
      <c r="O44" s="7"/>
      <c r="P44" s="7">
        <f>M44</f>
        <v>20</v>
      </c>
      <c r="Q44" s="7">
        <f>ROUND(P44*IF(C44,PriceAnalytics,PriceLake),2)</f>
        <v>99.69</v>
      </c>
      <c r="R44" s="7">
        <f>ROUND(P44*IF(C44,PriceAnalytics,PriceLake)*DaysPerMonth,0)</f>
        <v>3032.0</v>
      </c>
      <c r="S44" s="7">
        <f>ROUND(M44*IF(C44,MAX(RetAnalyticsTotal-FreeRetDays,0),RetLakeTotal)/6*PriceStorage,0)</f>
        <v>47.0</v>
      </c>
    </row>
    <row r="45" spans="1:19" ht="40" customHeight="1">
      <c r="A45" s="3" t="s">
        <v>107</v>
      </c>
      <c r="B45" s="3" t="s">
        <v>124</v>
      </c>
      <c r="C45" s="4" t="b">
        <v>0</v>
      </c>
      <c r="D45" s="4" t="b">
        <v>0</v>
      </c>
      <c r="E45" s="4" t="b">
        <v>1</v>
      </c>
      <c r="F45" s="3" t="s">
        <v>109</v>
      </c>
      <c r="G45" s="3" t="s">
        <v>50</v>
      </c>
      <c r="H45" s="3" t="s">
        <v>51</v>
      </c>
      <c r="I45" s="3" t="s">
        <v>125</v>
      </c>
      <c r="J45" s="3"/>
      <c r="K45" s="3">
        <v>0</v>
      </c>
      <c r="L45" s="3"/>
      <c r="M45" s="3"/>
      <c r="N45" s="3"/>
      <c r="O45" s="3"/>
      <c r="P45" s="3"/>
      <c r="Q45" s="3"/>
      <c r="R45" s="3"/>
      <c r="S45" s="3"/>
    </row>
    <row r="46" spans="1:19" ht="28" customHeight="1">
      <c r="A46" s="3" t="s">
        <v>107</v>
      </c>
      <c r="B46" s="3" t="s">
        <v>126</v>
      </c>
      <c r="C46" s="4" t="b">
        <v>1</v>
      </c>
      <c r="D46" s="4" t="b">
        <v>1</v>
      </c>
      <c r="E46" s="4" t="b">
        <v>1</v>
      </c>
      <c r="F46" s="3" t="s">
        <v>109</v>
      </c>
      <c r="G46" s="3" t="s">
        <v>22</v>
      </c>
      <c r="H46" s="3" t="s">
        <v>40</v>
      </c>
      <c r="I46" s="3" t="s">
        <v>127</v>
      </c>
      <c r="J46" s="3"/>
      <c r="K46" s="3">
        <v>1</v>
      </c>
      <c r="L46" s="5" t="s">
        <v>66</v>
      </c>
      <c r="M46" s="6">
        <v>5</v>
      </c>
      <c r="N46" s="7"/>
      <c r="O46" s="7"/>
      <c r="P46" s="7">
        <f>M46</f>
        <v>5</v>
      </c>
      <c r="Q46" s="7">
        <f>ROUND(P46*IF(C46,PriceAnalytics,PriceLake),2)</f>
        <v>24.92</v>
      </c>
      <c r="R46" s="7">
        <f>ROUND(P46*IF(C46,PriceAnalytics,PriceLake)*DaysPerMonth,0)</f>
        <v>758.0</v>
      </c>
      <c r="S46" s="7">
        <f>ROUND(M46*IF(C46,MAX(RetAnalyticsTotal-FreeRetDays,0),RetLakeTotal)/6*PriceStorage,0)</f>
        <v>12.0</v>
      </c>
    </row>
    <row r="47" spans="1:19" ht="28" customHeight="1">
      <c r="A47" s="3" t="s">
        <v>107</v>
      </c>
      <c r="B47" s="3" t="s">
        <v>128</v>
      </c>
      <c r="C47" s="4" t="b">
        <v>1</v>
      </c>
      <c r="D47" s="4" t="b">
        <v>1</v>
      </c>
      <c r="E47" s="4" t="b">
        <v>1</v>
      </c>
      <c r="F47" s="3" t="s">
        <v>109</v>
      </c>
      <c r="G47" s="3" t="s">
        <v>36</v>
      </c>
      <c r="H47" s="3" t="s">
        <v>51</v>
      </c>
      <c r="I47" s="3"/>
      <c r="J47" s="3"/>
      <c r="K47" s="3">
        <v>1</v>
      </c>
      <c r="L47" s="5" t="s">
        <v>66</v>
      </c>
      <c r="M47" s="6">
        <v>0.05</v>
      </c>
      <c r="N47" s="7"/>
      <c r="O47" s="7"/>
      <c r="P47" s="7">
        <f>M47</f>
        <v>0.05</v>
      </c>
      <c r="Q47" s="7">
        <f>ROUND(P47*IF(C47,PriceAnalytics,PriceLake),2)</f>
        <v>0.25</v>
      </c>
      <c r="R47" s="7">
        <f>ROUND(P47*IF(C47,PriceAnalytics,PriceLake)*DaysPerMonth,0)</f>
        <v>8.0</v>
      </c>
      <c r="S47" s="7">
        <f>ROUND(M47*IF(C47,MAX(RetAnalyticsTotal-FreeRetDays,0),RetLakeTotal)/6*PriceStorage,0)</f>
        <v>0.0</v>
      </c>
    </row>
    <row r="48" spans="1:19" ht="28" customHeight="1">
      <c r="A48" s="3" t="s">
        <v>107</v>
      </c>
      <c r="B48" s="3" t="s">
        <v>129</v>
      </c>
      <c r="C48" s="4" t="b">
        <v>0</v>
      </c>
      <c r="D48" s="4" t="b">
        <v>1</v>
      </c>
      <c r="E48" s="4" t="b">
        <v>1</v>
      </c>
      <c r="F48" s="3" t="s">
        <v>109</v>
      </c>
      <c r="G48" s="3" t="s">
        <v>36</v>
      </c>
      <c r="H48" s="3" t="s">
        <v>40</v>
      </c>
      <c r="I48" s="3"/>
      <c r="J48" s="3"/>
      <c r="K48" s="3">
        <v>1</v>
      </c>
      <c r="L48" s="5" t="s">
        <v>66</v>
      </c>
      <c r="M48" s="6">
        <v>5</v>
      </c>
      <c r="N48" s="7"/>
      <c r="O48" s="7"/>
      <c r="P48" s="7">
        <f>M48</f>
        <v>5</v>
      </c>
      <c r="Q48" s="7">
        <f>ROUND(P48*IF(C48,PriceAnalytics,PriceLake),2)</f>
        <v>0.89</v>
      </c>
      <c r="R48" s="7">
        <f>ROUND(P48*IF(C48,PriceAnalytics,PriceLake)*DaysPerMonth,0)</f>
        <v>27.0</v>
      </c>
      <c r="S48" s="7">
        <f>ROUND(M48*IF(C48,MAX(RetAnalyticsTotal-FreeRetDays,0),RetLakeTotal)/6*PriceStorage,0)</f>
        <v>7.0</v>
      </c>
    </row>
    <row r="49" spans="1:19" ht="28" customHeight="1">
      <c r="A49" s="3" t="s">
        <v>107</v>
      </c>
      <c r="B49" s="3" t="s">
        <v>130</v>
      </c>
      <c r="C49" s="4" t="b">
        <v>0</v>
      </c>
      <c r="D49" s="4" t="b">
        <v>1</v>
      </c>
      <c r="E49" s="4" t="b">
        <v>1</v>
      </c>
      <c r="F49" s="3" t="s">
        <v>109</v>
      </c>
      <c r="G49" s="3" t="s">
        <v>36</v>
      </c>
      <c r="H49" s="3" t="s">
        <v>51</v>
      </c>
      <c r="I49" s="3" t="s">
        <v>131</v>
      </c>
      <c r="J49" s="3"/>
      <c r="K49" s="3">
        <v>1</v>
      </c>
      <c r="L49" s="5" t="s">
        <v>66</v>
      </c>
      <c r="M49" s="6">
        <v>2</v>
      </c>
      <c r="N49" s="7"/>
      <c r="O49" s="7"/>
      <c r="P49" s="7">
        <f>M49</f>
        <v>2</v>
      </c>
      <c r="Q49" s="7">
        <f>ROUND(P49*IF(C49,PriceAnalytics,PriceLake),2)</f>
        <v>0.36</v>
      </c>
      <c r="R49" s="7">
        <f>ROUND(P49*IF(C49,PriceAnalytics,PriceLake)*DaysPerMonth,0)</f>
        <v>11.0</v>
      </c>
      <c r="S49" s="7">
        <f>ROUND(M49*IF(C49,MAX(RetAnalyticsTotal-FreeRetDays,0),RetLakeTotal)/6*PriceStorage,0)</f>
        <v>3.0</v>
      </c>
    </row>
    <row r="50" spans="1:19" ht="40" customHeight="1">
      <c r="A50" s="3" t="s">
        <v>107</v>
      </c>
      <c r="B50" s="3" t="s">
        <v>132</v>
      </c>
      <c r="C50" s="4" t="b">
        <v>0</v>
      </c>
      <c r="D50" s="4" t="b">
        <v>0</v>
      </c>
      <c r="E50" s="4" t="b">
        <v>1</v>
      </c>
      <c r="F50" s="3" t="s">
        <v>109</v>
      </c>
      <c r="G50" s="3" t="s">
        <v>50</v>
      </c>
      <c r="H50" s="3" t="s">
        <v>51</v>
      </c>
      <c r="I50" s="3"/>
      <c r="J50" s="3"/>
      <c r="K50" s="3">
        <v>0</v>
      </c>
      <c r="L50" s="3"/>
      <c r="M50" s="3"/>
      <c r="N50" s="3"/>
      <c r="O50" s="3"/>
      <c r="P50" s="3"/>
      <c r="Q50" s="3"/>
      <c r="R50" s="3"/>
      <c r="S50" s="3"/>
    </row>
    <row r="51" spans="1:19" ht="28" customHeight="1">
      <c r="A51" s="3" t="s">
        <v>107</v>
      </c>
      <c r="B51" s="3" t="s">
        <v>133</v>
      </c>
      <c r="C51" s="4" t="b">
        <v>0</v>
      </c>
      <c r="D51" s="4" t="b">
        <v>0</v>
      </c>
      <c r="E51" s="4" t="b">
        <v>1</v>
      </c>
      <c r="F51" s="3" t="s">
        <v>109</v>
      </c>
      <c r="G51" s="3" t="s">
        <v>50</v>
      </c>
      <c r="H51" s="3" t="s">
        <v>51</v>
      </c>
      <c r="I51" s="3"/>
      <c r="J51" s="3"/>
      <c r="K51" s="3">
        <v>0</v>
      </c>
      <c r="L51" s="3"/>
      <c r="M51" s="3"/>
      <c r="N51" s="3"/>
      <c r="O51" s="3"/>
      <c r="P51" s="3"/>
      <c r="Q51" s="3"/>
      <c r="R51" s="3"/>
      <c r="S51" s="3"/>
    </row>
    <row r="52" spans="1:19" ht="64" customHeight="1">
      <c r="A52" s="3" t="s">
        <v>134</v>
      </c>
      <c r="B52" s="3" t="s">
        <v>135</v>
      </c>
      <c r="C52" s="4" t="b">
        <v>1</v>
      </c>
      <c r="D52" s="4" t="b">
        <v>1</v>
      </c>
      <c r="E52" s="4" t="b">
        <v>1</v>
      </c>
      <c r="F52" s="3" t="s">
        <v>136</v>
      </c>
      <c r="G52" s="3" t="s">
        <v>22</v>
      </c>
      <c r="H52" s="3" t="s">
        <v>23</v>
      </c>
      <c r="I52" s="3" t="s">
        <v>137</v>
      </c>
      <c r="J52" s="3" t="s">
        <v>138</v>
      </c>
      <c r="K52" s="3">
        <v>1</v>
      </c>
      <c r="L52" s="3">
        <v>30</v>
      </c>
      <c r="M52" s="3">
        <v>2.95</v>
      </c>
      <c r="N52" s="3">
        <v>1.27</v>
      </c>
      <c r="O52" s="3">
        <v>5.46</v>
      </c>
      <c r="P52" s="3">
        <v>0</v>
      </c>
      <c r="Q52" s="3">
        <v>0</v>
      </c>
      <c r="R52" s="3">
        <v>0</v>
      </c>
      <c r="S52" s="3">
        <v>7</v>
      </c>
    </row>
    <row r="53" spans="1:19" ht="28" customHeight="1">
      <c r="A53" s="3" t="s">
        <v>134</v>
      </c>
      <c r="B53" s="3" t="s">
        <v>139</v>
      </c>
      <c r="C53" s="4" t="b">
        <v>1</v>
      </c>
      <c r="D53" s="4" t="b">
        <v>1</v>
      </c>
      <c r="E53" s="4" t="b">
        <v>1</v>
      </c>
      <c r="F53" s="3" t="s">
        <v>136</v>
      </c>
      <c r="G53" s="3" t="s">
        <v>22</v>
      </c>
      <c r="H53" s="3" t="s">
        <v>51</v>
      </c>
      <c r="I53" s="3"/>
      <c r="J53" s="3"/>
      <c r="K53" s="3">
        <v>1</v>
      </c>
      <c r="L53" s="5" t="s">
        <v>66</v>
      </c>
      <c r="M53" s="6">
        <v>2</v>
      </c>
      <c r="N53" s="7"/>
      <c r="O53" s="7"/>
      <c r="P53" s="7">
        <f>M53</f>
        <v>2</v>
      </c>
      <c r="Q53" s="7">
        <f>ROUND(P53*IF(C53,PriceAnalytics,PriceLake),2)</f>
        <v>9.97</v>
      </c>
      <c r="R53" s="7">
        <f>ROUND(P53*IF(C53,PriceAnalytics,PriceLake)*DaysPerMonth,0)</f>
        <v>303.0</v>
      </c>
      <c r="S53" s="7">
        <f>ROUND(M53*IF(C53,MAX(RetAnalyticsTotal-FreeRetDays,0),RetLakeTotal)/6*PriceStorage,0)</f>
        <v>5.0</v>
      </c>
    </row>
    <row r="54" spans="1:19" ht="28" customHeight="1">
      <c r="A54" s="3" t="s">
        <v>140</v>
      </c>
      <c r="B54" s="3" t="s">
        <v>141</v>
      </c>
      <c r="C54" s="4" t="b">
        <v>1</v>
      </c>
      <c r="D54" s="4" t="b">
        <v>1</v>
      </c>
      <c r="E54" s="4" t="b">
        <v>1</v>
      </c>
      <c r="F54" s="3"/>
      <c r="G54" s="3" t="s">
        <v>22</v>
      </c>
      <c r="H54" s="3" t="s">
        <v>51</v>
      </c>
      <c r="I54" s="3"/>
      <c r="J54" s="3"/>
      <c r="K54" s="3">
        <v>1</v>
      </c>
      <c r="L54" s="5" t="s">
        <v>66</v>
      </c>
      <c r="M54" s="6">
        <v>0.5</v>
      </c>
      <c r="N54" s="7"/>
      <c r="O54" s="7"/>
      <c r="P54" s="7">
        <f>M54</f>
        <v>0.5</v>
      </c>
      <c r="Q54" s="7">
        <f>ROUND(P54*IF(C54,PriceAnalytics,PriceLake),2)</f>
        <v>2.49</v>
      </c>
      <c r="R54" s="7">
        <f>ROUND(P54*IF(C54,PriceAnalytics,PriceLake)*DaysPerMonth,0)</f>
        <v>76.0</v>
      </c>
      <c r="S54" s="7">
        <f>ROUND(M54*IF(C54,MAX(RetAnalyticsTotal-FreeRetDays,0),RetLakeTotal)/6*PriceStorage,0)</f>
        <v>1.0</v>
      </c>
    </row>
    <row r="55" spans="1:19" ht="28" customHeight="1">
      <c r="A55" s="3" t="s">
        <v>142</v>
      </c>
      <c r="B55" s="3" t="s">
        <v>143</v>
      </c>
      <c r="C55" s="4" t="b">
        <v>0</v>
      </c>
      <c r="D55" s="4" t="b">
        <v>1</v>
      </c>
      <c r="E55" s="4" t="b">
        <v>1</v>
      </c>
      <c r="F55" s="3"/>
      <c r="G55" s="3" t="s">
        <v>22</v>
      </c>
      <c r="H55" s="3" t="s">
        <v>144</v>
      </c>
      <c r="I55" s="3"/>
      <c r="J55" s="3"/>
      <c r="K55" s="3">
        <v>2</v>
      </c>
      <c r="L55" s="5" t="s">
        <v>66</v>
      </c>
      <c r="M55" s="6">
        <v>3</v>
      </c>
      <c r="N55" s="7"/>
      <c r="O55" s="7"/>
      <c r="P55" s="7">
        <f>M55</f>
        <v>3</v>
      </c>
      <c r="Q55" s="7">
        <f>ROUND(P55*IF(C55,PriceAnalytics,PriceLake),2)</f>
        <v>0.54</v>
      </c>
      <c r="R55" s="7">
        <f>ROUND(P55*IF(C55,PriceAnalytics,PriceLake)*DaysPerMonth,0)</f>
        <v>16.0</v>
      </c>
      <c r="S55" s="7">
        <f>ROUND(M55*IF(C55,MAX(RetAnalyticsTotal-FreeRetDays,0),RetLakeTotal)/6*PriceStorage,0)</f>
        <v>4.0</v>
      </c>
    </row>
    <row r="56" spans="1:19" ht="28" customHeight="1">
      <c r="A56" s="3" t="s">
        <v>142</v>
      </c>
      <c r="B56" s="3" t="s">
        <v>145</v>
      </c>
      <c r="C56" s="4" t="b">
        <v>1</v>
      </c>
      <c r="D56" s="4" t="b">
        <v>1</v>
      </c>
      <c r="E56" s="4" t="b">
        <v>1</v>
      </c>
      <c r="F56" s="3"/>
      <c r="G56" s="3" t="s">
        <v>22</v>
      </c>
      <c r="H56" s="3" t="s">
        <v>144</v>
      </c>
      <c r="I56" s="3"/>
      <c r="J56" s="3"/>
      <c r="K56" s="3">
        <v>2</v>
      </c>
      <c r="L56" s="5" t="s">
        <v>66</v>
      </c>
      <c r="M56" s="6">
        <v>2</v>
      </c>
      <c r="N56" s="7"/>
      <c r="O56" s="7"/>
      <c r="P56" s="7">
        <f>M56</f>
        <v>2</v>
      </c>
      <c r="Q56" s="7">
        <f>ROUND(P56*IF(C56,PriceAnalytics,PriceLake),2)</f>
        <v>9.97</v>
      </c>
      <c r="R56" s="7">
        <f>ROUND(P56*IF(C56,PriceAnalytics,PriceLake)*DaysPerMonth,0)</f>
        <v>303.0</v>
      </c>
      <c r="S56" s="7">
        <f>ROUND(M56*IF(C56,MAX(RetAnalyticsTotal-FreeRetDays,0),RetLakeTotal)/6*PriceStorage,0)</f>
        <v>5.0</v>
      </c>
    </row>
    <row r="57" spans="1:19" ht="40" customHeight="1">
      <c r="A57" s="3" t="s">
        <v>142</v>
      </c>
      <c r="B57" s="3" t="s">
        <v>146</v>
      </c>
      <c r="C57" s="4" t="b">
        <v>1</v>
      </c>
      <c r="D57" s="4" t="b">
        <v>1</v>
      </c>
      <c r="E57" s="4" t="b">
        <v>0</v>
      </c>
      <c r="F57" s="3"/>
      <c r="G57" s="3" t="s">
        <v>147</v>
      </c>
      <c r="H57" s="3" t="s">
        <v>148</v>
      </c>
      <c r="I57" s="3"/>
      <c r="J57" s="3"/>
      <c r="K57" s="3">
        <v>2</v>
      </c>
      <c r="L57" s="5" t="s">
        <v>66</v>
      </c>
      <c r="M57" s="6">
        <v>1</v>
      </c>
      <c r="N57" s="7"/>
      <c r="O57" s="7"/>
      <c r="P57" s="7">
        <f>M57</f>
        <v>1</v>
      </c>
      <c r="Q57" s="7">
        <f>ROUND(P57*IF(C57,PriceAnalytics,PriceLake),2)</f>
        <v>4.98</v>
      </c>
      <c r="R57" s="7">
        <f>ROUND(P57*IF(C57,PriceAnalytics,PriceLake)*DaysPerMonth,0)</f>
        <v>152.0</v>
      </c>
      <c r="S57" s="7">
        <f>ROUND(M57*IF(C57,MAX(RetAnalyticsTotal-FreeRetDays,0),RetLakeTotal)/6*PriceStorage,0)</f>
        <v>2.0</v>
      </c>
    </row>
    <row r="58" spans="1:19" ht="40" customHeight="1">
      <c r="A58" s="3" t="s">
        <v>142</v>
      </c>
      <c r="B58" s="3" t="s">
        <v>149</v>
      </c>
      <c r="C58" s="4" t="b">
        <v>1</v>
      </c>
      <c r="D58" s="4" t="b">
        <v>1</v>
      </c>
      <c r="E58" s="4" t="b">
        <v>1</v>
      </c>
      <c r="F58" s="3"/>
      <c r="G58" s="3" t="s">
        <v>147</v>
      </c>
      <c r="H58" s="3" t="s">
        <v>144</v>
      </c>
      <c r="I58" s="3"/>
      <c r="J58" s="3"/>
      <c r="K58" s="3">
        <v>2</v>
      </c>
      <c r="L58" s="5" t="s">
        <v>66</v>
      </c>
      <c r="M58" s="6">
        <v>0.2</v>
      </c>
      <c r="N58" s="7"/>
      <c r="O58" s="7"/>
      <c r="P58" s="7">
        <f>M58</f>
        <v>0.2</v>
      </c>
      <c r="Q58" s="7">
        <f>ROUND(P58*IF(C58,PriceAnalytics,PriceLake),2)</f>
        <v>1.0</v>
      </c>
      <c r="R58" s="7">
        <f>ROUND(P58*IF(C58,PriceAnalytics,PriceLake)*DaysPerMonth,0)</f>
        <v>30.0</v>
      </c>
      <c r="S58" s="7">
        <f>ROUND(M58*IF(C58,MAX(RetAnalyticsTotal-FreeRetDays,0),RetLakeTotal)/6*PriceStorage,0)</f>
        <v>0.0</v>
      </c>
    </row>
    <row r="59" spans="1:19" ht="40" customHeight="1">
      <c r="A59" s="3" t="s">
        <v>142</v>
      </c>
      <c r="B59" s="3" t="s">
        <v>150</v>
      </c>
      <c r="C59" s="4" t="b">
        <v>1</v>
      </c>
      <c r="D59" s="4" t="b">
        <v>1</v>
      </c>
      <c r="E59" s="4" t="b">
        <v>1</v>
      </c>
      <c r="F59" s="3"/>
      <c r="G59" s="3" t="s">
        <v>147</v>
      </c>
      <c r="H59" s="3" t="s">
        <v>144</v>
      </c>
      <c r="I59" s="3"/>
      <c r="J59" s="3"/>
      <c r="K59" s="3">
        <v>2</v>
      </c>
      <c r="L59" s="5" t="s">
        <v>66</v>
      </c>
      <c r="M59" s="6">
        <v>0.01</v>
      </c>
      <c r="N59" s="7"/>
      <c r="O59" s="7"/>
      <c r="P59" s="7">
        <f>M59</f>
        <v>0.01</v>
      </c>
      <c r="Q59" s="7">
        <f>ROUND(P59*IF(C59,PriceAnalytics,PriceLake),2)</f>
        <v>0.05</v>
      </c>
      <c r="R59" s="7">
        <f>ROUND(P59*IF(C59,PriceAnalytics,PriceLake)*DaysPerMonth,0)</f>
        <v>2.0</v>
      </c>
      <c r="S59" s="7">
        <f>ROUND(M59*IF(C59,MAX(RetAnalyticsTotal-FreeRetDays,0),RetLakeTotal)/6*PriceStorage,0)</f>
        <v>0.0</v>
      </c>
    </row>
    <row r="60" spans="1:19" ht="40" customHeight="1">
      <c r="A60" s="3" t="s">
        <v>142</v>
      </c>
      <c r="B60" s="3" t="s">
        <v>151</v>
      </c>
      <c r="C60" s="4" t="b">
        <v>1</v>
      </c>
      <c r="D60" s="4" t="b">
        <v>1</v>
      </c>
      <c r="E60" s="4" t="b">
        <v>1</v>
      </c>
      <c r="F60" s="3"/>
      <c r="G60" s="3" t="s">
        <v>147</v>
      </c>
      <c r="H60" s="3" t="s">
        <v>144</v>
      </c>
      <c r="I60" s="3"/>
      <c r="J60" s="3"/>
      <c r="K60" s="3">
        <v>2</v>
      </c>
      <c r="L60" s="5" t="s">
        <v>66</v>
      </c>
      <c r="M60" s="6">
        <v>2</v>
      </c>
      <c r="N60" s="7"/>
      <c r="O60" s="7"/>
      <c r="P60" s="7">
        <f>M60</f>
        <v>2</v>
      </c>
      <c r="Q60" s="7">
        <f>ROUND(P60*IF(C60,PriceAnalytics,PriceLake),2)</f>
        <v>9.97</v>
      </c>
      <c r="R60" s="7">
        <f>ROUND(P60*IF(C60,PriceAnalytics,PriceLake)*DaysPerMonth,0)</f>
        <v>303.0</v>
      </c>
      <c r="S60" s="7">
        <f>ROUND(M60*IF(C60,MAX(RetAnalyticsTotal-FreeRetDays,0),RetLakeTotal)/6*PriceStorage,0)</f>
        <v>5.0</v>
      </c>
    </row>
    <row r="61" spans="1:19" ht="40" customHeight="1">
      <c r="A61" s="3" t="s">
        <v>142</v>
      </c>
      <c r="B61" s="3" t="s">
        <v>152</v>
      </c>
      <c r="C61" s="4" t="b">
        <v>1</v>
      </c>
      <c r="D61" s="4" t="b">
        <v>1</v>
      </c>
      <c r="E61" s="4" t="b">
        <v>1</v>
      </c>
      <c r="F61" s="3"/>
      <c r="G61" s="3" t="s">
        <v>147</v>
      </c>
      <c r="H61" s="3" t="s">
        <v>144</v>
      </c>
      <c r="I61" s="3"/>
      <c r="J61" s="3"/>
      <c r="K61" s="3">
        <v>2</v>
      </c>
      <c r="L61" s="5" t="s">
        <v>66</v>
      </c>
      <c r="M61" s="6">
        <v>3</v>
      </c>
      <c r="N61" s="7"/>
      <c r="O61" s="7"/>
      <c r="P61" s="7">
        <f>M61</f>
        <v>3</v>
      </c>
      <c r="Q61" s="7">
        <f>ROUND(P61*IF(C61,PriceAnalytics,PriceLake),2)</f>
        <v>14.95</v>
      </c>
      <c r="R61" s="7">
        <f>ROUND(P61*IF(C61,PriceAnalytics,PriceLake)*DaysPerMonth,0)</f>
        <v>455.0</v>
      </c>
      <c r="S61" s="7">
        <f>ROUND(M61*IF(C61,MAX(RetAnalyticsTotal-FreeRetDays,0),RetLakeTotal)/6*PriceStorage,0)</f>
        <v>7.0</v>
      </c>
    </row>
    <row r="62" spans="1:19" ht="40" customHeight="1">
      <c r="A62" s="3" t="s">
        <v>142</v>
      </c>
      <c r="B62" s="3" t="s">
        <v>153</v>
      </c>
      <c r="C62" s="4" t="b">
        <v>1</v>
      </c>
      <c r="D62" s="4" t="b">
        <v>1</v>
      </c>
      <c r="E62" s="4" t="b">
        <v>1</v>
      </c>
      <c r="F62" s="3"/>
      <c r="G62" s="3" t="s">
        <v>147</v>
      </c>
      <c r="H62" s="3" t="s">
        <v>144</v>
      </c>
      <c r="I62" s="3"/>
      <c r="J62" s="3"/>
      <c r="K62" s="3">
        <v>2</v>
      </c>
      <c r="L62" s="5" t="s">
        <v>66</v>
      </c>
      <c r="M62" s="6">
        <v>0.2</v>
      </c>
      <c r="N62" s="7"/>
      <c r="O62" s="7"/>
      <c r="P62" s="7">
        <f>M62</f>
        <v>0.2</v>
      </c>
      <c r="Q62" s="7">
        <f>ROUND(P62*IF(C62,PriceAnalytics,PriceLake),2)</f>
        <v>1.0</v>
      </c>
      <c r="R62" s="7">
        <f>ROUND(P62*IF(C62,PriceAnalytics,PriceLake)*DaysPerMonth,0)</f>
        <v>30.0</v>
      </c>
      <c r="S62" s="7">
        <f>ROUND(M62*IF(C62,MAX(RetAnalyticsTotal-FreeRetDays,0),RetLakeTotal)/6*PriceStorage,0)</f>
        <v>0.0</v>
      </c>
    </row>
    <row r="63" spans="1:19" ht="40" customHeight="1">
      <c r="A63" s="3" t="s">
        <v>142</v>
      </c>
      <c r="B63" s="3" t="s">
        <v>154</v>
      </c>
      <c r="C63" s="4" t="b">
        <v>1</v>
      </c>
      <c r="D63" s="4" t="b">
        <v>1</v>
      </c>
      <c r="E63" s="4" t="b">
        <v>1</v>
      </c>
      <c r="F63" s="3"/>
      <c r="G63" s="3" t="s">
        <v>147</v>
      </c>
      <c r="H63" s="3" t="s">
        <v>144</v>
      </c>
      <c r="I63" s="3"/>
      <c r="J63" s="3"/>
      <c r="K63" s="3">
        <v>2</v>
      </c>
      <c r="L63" s="5" t="s">
        <v>66</v>
      </c>
      <c r="M63" s="6">
        <v>0.05</v>
      </c>
      <c r="N63" s="7"/>
      <c r="O63" s="7"/>
      <c r="P63" s="7">
        <f>M63</f>
        <v>0.05</v>
      </c>
      <c r="Q63" s="7">
        <f>ROUND(P63*IF(C63,PriceAnalytics,PriceLake),2)</f>
        <v>0.25</v>
      </c>
      <c r="R63" s="7">
        <f>ROUND(P63*IF(C63,PriceAnalytics,PriceLake)*DaysPerMonth,0)</f>
        <v>8.0</v>
      </c>
      <c r="S63" s="7">
        <f>ROUND(M63*IF(C63,MAX(RetAnalyticsTotal-FreeRetDays,0),RetLakeTotal)/6*PriceStorage,0)</f>
        <v>0.0</v>
      </c>
    </row>
    <row r="64" spans="1:19" ht="40" customHeight="1">
      <c r="A64" s="3" t="s">
        <v>142</v>
      </c>
      <c r="B64" s="3" t="s">
        <v>155</v>
      </c>
      <c r="C64" s="4" t="b">
        <v>1</v>
      </c>
      <c r="D64" s="4" t="b">
        <v>1</v>
      </c>
      <c r="E64" s="4" t="b">
        <v>1</v>
      </c>
      <c r="F64" s="3"/>
      <c r="G64" s="3" t="s">
        <v>147</v>
      </c>
      <c r="H64" s="3" t="s">
        <v>144</v>
      </c>
      <c r="I64" s="3"/>
      <c r="J64" s="3"/>
      <c r="K64" s="3">
        <v>2</v>
      </c>
      <c r="L64" s="5" t="s">
        <v>66</v>
      </c>
      <c r="M64" s="6">
        <v>0.1</v>
      </c>
      <c r="N64" s="7"/>
      <c r="O64" s="7"/>
      <c r="P64" s="7">
        <f>M64</f>
        <v>0.1</v>
      </c>
      <c r="Q64" s="7">
        <f>ROUND(P64*IF(C64,PriceAnalytics,PriceLake),2)</f>
        <v>0.5</v>
      </c>
      <c r="R64" s="7">
        <f>ROUND(P64*IF(C64,PriceAnalytics,PriceLake)*DaysPerMonth,0)</f>
        <v>15.0</v>
      </c>
      <c r="S64" s="7">
        <f>ROUND(M64*IF(C64,MAX(RetAnalyticsTotal-FreeRetDays,0),RetLakeTotal)/6*PriceStorage,0)</f>
        <v>0.0</v>
      </c>
    </row>
    <row r="65" spans="1:19" ht="40" customHeight="1">
      <c r="A65" s="3" t="s">
        <v>142</v>
      </c>
      <c r="B65" s="3" t="s">
        <v>156</v>
      </c>
      <c r="C65" s="4" t="b">
        <v>1</v>
      </c>
      <c r="D65" s="4" t="b">
        <v>1</v>
      </c>
      <c r="E65" s="4" t="b">
        <v>1</v>
      </c>
      <c r="F65" s="3"/>
      <c r="G65" s="3" t="s">
        <v>147</v>
      </c>
      <c r="H65" s="3" t="s">
        <v>144</v>
      </c>
      <c r="I65" s="3"/>
      <c r="J65" s="3"/>
      <c r="K65" s="3">
        <v>2</v>
      </c>
      <c r="L65" s="5" t="s">
        <v>66</v>
      </c>
      <c r="M65" s="6">
        <v>0.02</v>
      </c>
      <c r="N65" s="7"/>
      <c r="O65" s="7"/>
      <c r="P65" s="7">
        <f>M65</f>
        <v>0.02</v>
      </c>
      <c r="Q65" s="7">
        <f>ROUND(P65*IF(C65,PriceAnalytics,PriceLake),2)</f>
        <v>0.1</v>
      </c>
      <c r="R65" s="7">
        <f>ROUND(P65*IF(C65,PriceAnalytics,PriceLake)*DaysPerMonth,0)</f>
        <v>3.0</v>
      </c>
      <c r="S65" s="7">
        <f>ROUND(M65*IF(C65,MAX(RetAnalyticsTotal-FreeRetDays,0),RetLakeTotal)/6*PriceStorage,0)</f>
        <v>0.0</v>
      </c>
    </row>
    <row r="66" spans="1:19" ht="40" customHeight="1">
      <c r="A66" s="3" t="s">
        <v>142</v>
      </c>
      <c r="B66" s="3" t="s">
        <v>157</v>
      </c>
      <c r="C66" s="4" t="b">
        <v>1</v>
      </c>
      <c r="D66" s="4" t="b">
        <v>1</v>
      </c>
      <c r="E66" s="4" t="b">
        <v>1</v>
      </c>
      <c r="F66" s="3"/>
      <c r="G66" s="3" t="s">
        <v>147</v>
      </c>
      <c r="H66" s="3" t="s">
        <v>144</v>
      </c>
      <c r="I66" s="3"/>
      <c r="J66" s="3"/>
      <c r="K66" s="3">
        <v>2</v>
      </c>
      <c r="L66" s="5" t="s">
        <v>66</v>
      </c>
      <c r="M66" s="6">
        <v>0</v>
      </c>
      <c r="N66" s="7"/>
      <c r="O66" s="7"/>
      <c r="P66" s="7">
        <f>M66</f>
        <v>0</v>
      </c>
      <c r="Q66" s="7">
        <f>ROUND(P66*IF(C66,PriceAnalytics,PriceLake),2)</f>
        <v>0.0</v>
      </c>
      <c r="R66" s="7">
        <f>ROUND(P66*IF(C66,PriceAnalytics,PriceLake)*DaysPerMonth,0)</f>
        <v>0.0</v>
      </c>
      <c r="S66" s="7">
        <f>ROUND(M66*IF(C66,MAX(RetAnalyticsTotal-FreeRetDays,0),RetLakeTotal)/6*PriceStorage,0)</f>
        <v>0.0</v>
      </c>
    </row>
    <row r="67" spans="1:19" ht="28" customHeight="1">
      <c r="A67" s="3" t="s">
        <v>142</v>
      </c>
      <c r="B67" s="3" t="s">
        <v>158</v>
      </c>
      <c r="C67" s="4" t="b">
        <v>0</v>
      </c>
      <c r="D67" s="4" t="b">
        <v>0</v>
      </c>
      <c r="E67" s="4" t="b">
        <v>1</v>
      </c>
      <c r="F67" s="3"/>
      <c r="G67" s="3" t="s">
        <v>50</v>
      </c>
      <c r="H67" s="3" t="s">
        <v>144</v>
      </c>
      <c r="I67" s="3"/>
      <c r="J67" s="3"/>
      <c r="K67" s="3">
        <v>0</v>
      </c>
      <c r="L67" s="3"/>
      <c r="M67" s="3"/>
      <c r="N67" s="3"/>
      <c r="O67" s="3"/>
      <c r="P67" s="3"/>
      <c r="Q67" s="3"/>
      <c r="R67" s="3"/>
      <c r="S67" s="3"/>
    </row>
    <row r="68" spans="1:19" ht="28" customHeight="1">
      <c r="A68" s="3" t="s">
        <v>159</v>
      </c>
      <c r="B68" s="3" t="s">
        <v>143</v>
      </c>
      <c r="C68" s="4" t="b">
        <v>0</v>
      </c>
      <c r="D68" s="4" t="b">
        <v>1</v>
      </c>
      <c r="E68" s="4" t="b">
        <v>1</v>
      </c>
      <c r="F68" s="3"/>
      <c r="G68" s="3" t="s">
        <v>22</v>
      </c>
      <c r="H68" s="3" t="s">
        <v>144</v>
      </c>
      <c r="I68" s="3"/>
      <c r="J68" s="3"/>
      <c r="K68" s="3">
        <v>3</v>
      </c>
      <c r="L68" s="5" t="s">
        <v>66</v>
      </c>
      <c r="M68" s="6">
        <v>3</v>
      </c>
      <c r="N68" s="7"/>
      <c r="O68" s="7"/>
      <c r="P68" s="7">
        <f>M68</f>
        <v>3</v>
      </c>
      <c r="Q68" s="7">
        <f>ROUND(P68*IF(C68,PriceAnalytics,PriceLake),2)</f>
        <v>0.54</v>
      </c>
      <c r="R68" s="7">
        <f>ROUND(P68*IF(C68,PriceAnalytics,PriceLake)*DaysPerMonth,0)</f>
        <v>16.0</v>
      </c>
      <c r="S68" s="7">
        <f>ROUND(M68*IF(C68,MAX(RetAnalyticsTotal-FreeRetDays,0),RetLakeTotal)/6*PriceStorage,0)</f>
        <v>4.0</v>
      </c>
    </row>
    <row r="69" spans="1:19" ht="28" customHeight="1">
      <c r="A69" s="3" t="s">
        <v>159</v>
      </c>
      <c r="B69" s="3" t="s">
        <v>145</v>
      </c>
      <c r="C69" s="4" t="b">
        <v>1</v>
      </c>
      <c r="D69" s="4" t="b">
        <v>1</v>
      </c>
      <c r="E69" s="4" t="b">
        <v>1</v>
      </c>
      <c r="F69" s="3"/>
      <c r="G69" s="3" t="s">
        <v>22</v>
      </c>
      <c r="H69" s="3" t="s">
        <v>144</v>
      </c>
      <c r="I69" s="3"/>
      <c r="J69" s="3"/>
      <c r="K69" s="3">
        <v>3</v>
      </c>
      <c r="L69" s="5" t="s">
        <v>66</v>
      </c>
      <c r="M69" s="6">
        <v>2</v>
      </c>
      <c r="N69" s="7"/>
      <c r="O69" s="7"/>
      <c r="P69" s="7">
        <f>M69</f>
        <v>2</v>
      </c>
      <c r="Q69" s="7">
        <f>ROUND(P69*IF(C69,PriceAnalytics,PriceLake),2)</f>
        <v>9.97</v>
      </c>
      <c r="R69" s="7">
        <f>ROUND(P69*IF(C69,PriceAnalytics,PriceLake)*DaysPerMonth,0)</f>
        <v>303.0</v>
      </c>
      <c r="S69" s="7">
        <f>ROUND(M69*IF(C69,MAX(RetAnalyticsTotal-FreeRetDays,0),RetLakeTotal)/6*PriceStorage,0)</f>
        <v>5.0</v>
      </c>
    </row>
    <row r="70" spans="1:19" ht="40" customHeight="1">
      <c r="A70" s="3" t="s">
        <v>159</v>
      </c>
      <c r="B70" s="3" t="s">
        <v>146</v>
      </c>
      <c r="C70" s="4" t="b">
        <v>1</v>
      </c>
      <c r="D70" s="4" t="b">
        <v>1</v>
      </c>
      <c r="E70" s="4" t="b">
        <v>0</v>
      </c>
      <c r="F70" s="3"/>
      <c r="G70" s="3" t="s">
        <v>147</v>
      </c>
      <c r="H70" s="3" t="s">
        <v>148</v>
      </c>
      <c r="I70" s="3"/>
      <c r="J70" s="3"/>
      <c r="K70" s="3">
        <v>3</v>
      </c>
      <c r="L70" s="5" t="s">
        <v>66</v>
      </c>
      <c r="M70" s="6">
        <v>1</v>
      </c>
      <c r="N70" s="7"/>
      <c r="O70" s="7"/>
      <c r="P70" s="7">
        <f>M70</f>
        <v>1</v>
      </c>
      <c r="Q70" s="7">
        <f>ROUND(P70*IF(C70,PriceAnalytics,PriceLake),2)</f>
        <v>4.98</v>
      </c>
      <c r="R70" s="7">
        <f>ROUND(P70*IF(C70,PriceAnalytics,PriceLake)*DaysPerMonth,0)</f>
        <v>152.0</v>
      </c>
      <c r="S70" s="7">
        <f>ROUND(M70*IF(C70,MAX(RetAnalyticsTotal-FreeRetDays,0),RetLakeTotal)/6*PriceStorage,0)</f>
        <v>2.0</v>
      </c>
    </row>
    <row r="71" spans="1:19" ht="40" customHeight="1">
      <c r="A71" s="3" t="s">
        <v>159</v>
      </c>
      <c r="B71" s="3" t="s">
        <v>149</v>
      </c>
      <c r="C71" s="4" t="b">
        <v>1</v>
      </c>
      <c r="D71" s="4" t="b">
        <v>1</v>
      </c>
      <c r="E71" s="4" t="b">
        <v>1</v>
      </c>
      <c r="F71" s="3"/>
      <c r="G71" s="3" t="s">
        <v>147</v>
      </c>
      <c r="H71" s="3" t="s">
        <v>144</v>
      </c>
      <c r="I71" s="3"/>
      <c r="J71" s="3"/>
      <c r="K71" s="3">
        <v>3</v>
      </c>
      <c r="L71" s="5" t="s">
        <v>66</v>
      </c>
      <c r="M71" s="6">
        <v>0.2</v>
      </c>
      <c r="N71" s="7"/>
      <c r="O71" s="7"/>
      <c r="P71" s="7">
        <f>M71</f>
        <v>0.2</v>
      </c>
      <c r="Q71" s="7">
        <f>ROUND(P71*IF(C71,PriceAnalytics,PriceLake),2)</f>
        <v>1.0</v>
      </c>
      <c r="R71" s="7">
        <f>ROUND(P71*IF(C71,PriceAnalytics,PriceLake)*DaysPerMonth,0)</f>
        <v>30.0</v>
      </c>
      <c r="S71" s="7">
        <f>ROUND(M71*IF(C71,MAX(RetAnalyticsTotal-FreeRetDays,0),RetLakeTotal)/6*PriceStorage,0)</f>
        <v>0.0</v>
      </c>
    </row>
    <row r="72" spans="1:19" ht="40" customHeight="1">
      <c r="A72" s="3" t="s">
        <v>159</v>
      </c>
      <c r="B72" s="3" t="s">
        <v>150</v>
      </c>
      <c r="C72" s="4" t="b">
        <v>1</v>
      </c>
      <c r="D72" s="4" t="b">
        <v>1</v>
      </c>
      <c r="E72" s="4" t="b">
        <v>1</v>
      </c>
      <c r="F72" s="3"/>
      <c r="G72" s="3" t="s">
        <v>147</v>
      </c>
      <c r="H72" s="3" t="s">
        <v>144</v>
      </c>
      <c r="I72" s="3"/>
      <c r="J72" s="3"/>
      <c r="K72" s="3">
        <v>3</v>
      </c>
      <c r="L72" s="5" t="s">
        <v>66</v>
      </c>
      <c r="M72" s="6">
        <v>0.01</v>
      </c>
      <c r="N72" s="7"/>
      <c r="O72" s="7"/>
      <c r="P72" s="7">
        <f>M72</f>
        <v>0.01</v>
      </c>
      <c r="Q72" s="7">
        <f>ROUND(P72*IF(C72,PriceAnalytics,PriceLake),2)</f>
        <v>0.05</v>
      </c>
      <c r="R72" s="7">
        <f>ROUND(P72*IF(C72,PriceAnalytics,PriceLake)*DaysPerMonth,0)</f>
        <v>2.0</v>
      </c>
      <c r="S72" s="7">
        <f>ROUND(M72*IF(C72,MAX(RetAnalyticsTotal-FreeRetDays,0),RetLakeTotal)/6*PriceStorage,0)</f>
        <v>0.0</v>
      </c>
    </row>
    <row r="73" spans="1:19" ht="40" customHeight="1">
      <c r="A73" s="3" t="s">
        <v>159</v>
      </c>
      <c r="B73" s="3" t="s">
        <v>151</v>
      </c>
      <c r="C73" s="4" t="b">
        <v>1</v>
      </c>
      <c r="D73" s="4" t="b">
        <v>1</v>
      </c>
      <c r="E73" s="4" t="b">
        <v>1</v>
      </c>
      <c r="F73" s="3"/>
      <c r="G73" s="3" t="s">
        <v>147</v>
      </c>
      <c r="H73" s="3" t="s">
        <v>144</v>
      </c>
      <c r="I73" s="3"/>
      <c r="J73" s="3"/>
      <c r="K73" s="3">
        <v>3</v>
      </c>
      <c r="L73" s="5" t="s">
        <v>66</v>
      </c>
      <c r="M73" s="6">
        <v>2</v>
      </c>
      <c r="N73" s="7"/>
      <c r="O73" s="7"/>
      <c r="P73" s="7">
        <f>M73</f>
        <v>2</v>
      </c>
      <c r="Q73" s="7">
        <f>ROUND(P73*IF(C73,PriceAnalytics,PriceLake),2)</f>
        <v>9.97</v>
      </c>
      <c r="R73" s="7">
        <f>ROUND(P73*IF(C73,PriceAnalytics,PriceLake)*DaysPerMonth,0)</f>
        <v>303.0</v>
      </c>
      <c r="S73" s="7">
        <f>ROUND(M73*IF(C73,MAX(RetAnalyticsTotal-FreeRetDays,0),RetLakeTotal)/6*PriceStorage,0)</f>
        <v>5.0</v>
      </c>
    </row>
    <row r="74" spans="1:19" ht="40" customHeight="1">
      <c r="A74" s="3" t="s">
        <v>159</v>
      </c>
      <c r="B74" s="3" t="s">
        <v>152</v>
      </c>
      <c r="C74" s="4" t="b">
        <v>1</v>
      </c>
      <c r="D74" s="4" t="b">
        <v>1</v>
      </c>
      <c r="E74" s="4" t="b">
        <v>1</v>
      </c>
      <c r="F74" s="3"/>
      <c r="G74" s="3" t="s">
        <v>147</v>
      </c>
      <c r="H74" s="3" t="s">
        <v>144</v>
      </c>
      <c r="I74" s="3"/>
      <c r="J74" s="3"/>
      <c r="K74" s="3">
        <v>3</v>
      </c>
      <c r="L74" s="5" t="s">
        <v>66</v>
      </c>
      <c r="M74" s="6">
        <v>3</v>
      </c>
      <c r="N74" s="7"/>
      <c r="O74" s="7"/>
      <c r="P74" s="7">
        <f>M74</f>
        <v>3</v>
      </c>
      <c r="Q74" s="7">
        <f>ROUND(P74*IF(C74,PriceAnalytics,PriceLake),2)</f>
        <v>14.95</v>
      </c>
      <c r="R74" s="7">
        <f>ROUND(P74*IF(C74,PriceAnalytics,PriceLake)*DaysPerMonth,0)</f>
        <v>455.0</v>
      </c>
      <c r="S74" s="7">
        <f>ROUND(M74*IF(C74,MAX(RetAnalyticsTotal-FreeRetDays,0),RetLakeTotal)/6*PriceStorage,0)</f>
        <v>7.0</v>
      </c>
    </row>
    <row r="75" spans="1:19" ht="40" customHeight="1">
      <c r="A75" s="3" t="s">
        <v>159</v>
      </c>
      <c r="B75" s="3" t="s">
        <v>153</v>
      </c>
      <c r="C75" s="4" t="b">
        <v>1</v>
      </c>
      <c r="D75" s="4" t="b">
        <v>1</v>
      </c>
      <c r="E75" s="4" t="b">
        <v>1</v>
      </c>
      <c r="F75" s="3"/>
      <c r="G75" s="3" t="s">
        <v>147</v>
      </c>
      <c r="H75" s="3" t="s">
        <v>144</v>
      </c>
      <c r="I75" s="3"/>
      <c r="J75" s="3"/>
      <c r="K75" s="3">
        <v>3</v>
      </c>
      <c r="L75" s="5" t="s">
        <v>66</v>
      </c>
      <c r="M75" s="6">
        <v>0.2</v>
      </c>
      <c r="N75" s="7"/>
      <c r="O75" s="7"/>
      <c r="P75" s="7">
        <f>M75</f>
        <v>0.2</v>
      </c>
      <c r="Q75" s="7">
        <f>ROUND(P75*IF(C75,PriceAnalytics,PriceLake),2)</f>
        <v>1.0</v>
      </c>
      <c r="R75" s="7">
        <f>ROUND(P75*IF(C75,PriceAnalytics,PriceLake)*DaysPerMonth,0)</f>
        <v>30.0</v>
      </c>
      <c r="S75" s="7">
        <f>ROUND(M75*IF(C75,MAX(RetAnalyticsTotal-FreeRetDays,0),RetLakeTotal)/6*PriceStorage,0)</f>
        <v>0.0</v>
      </c>
    </row>
    <row r="76" spans="1:19" ht="40" customHeight="1">
      <c r="A76" s="3" t="s">
        <v>159</v>
      </c>
      <c r="B76" s="3" t="s">
        <v>154</v>
      </c>
      <c r="C76" s="4" t="b">
        <v>1</v>
      </c>
      <c r="D76" s="4" t="b">
        <v>1</v>
      </c>
      <c r="E76" s="4" t="b">
        <v>1</v>
      </c>
      <c r="F76" s="3"/>
      <c r="G76" s="3" t="s">
        <v>147</v>
      </c>
      <c r="H76" s="3" t="s">
        <v>144</v>
      </c>
      <c r="I76" s="3"/>
      <c r="J76" s="3"/>
      <c r="K76" s="3">
        <v>3</v>
      </c>
      <c r="L76" s="5" t="s">
        <v>66</v>
      </c>
      <c r="M76" s="6">
        <v>0.05</v>
      </c>
      <c r="N76" s="7"/>
      <c r="O76" s="7"/>
      <c r="P76" s="7">
        <f>M76</f>
        <v>0.05</v>
      </c>
      <c r="Q76" s="7">
        <f>ROUND(P76*IF(C76,PriceAnalytics,PriceLake),2)</f>
        <v>0.25</v>
      </c>
      <c r="R76" s="7">
        <f>ROUND(P76*IF(C76,PriceAnalytics,PriceLake)*DaysPerMonth,0)</f>
        <v>8.0</v>
      </c>
      <c r="S76" s="7">
        <f>ROUND(M76*IF(C76,MAX(RetAnalyticsTotal-FreeRetDays,0),RetLakeTotal)/6*PriceStorage,0)</f>
        <v>0.0</v>
      </c>
    </row>
    <row r="77" spans="1:19" ht="40" customHeight="1">
      <c r="A77" s="3" t="s">
        <v>159</v>
      </c>
      <c r="B77" s="3" t="s">
        <v>155</v>
      </c>
      <c r="C77" s="4" t="b">
        <v>1</v>
      </c>
      <c r="D77" s="4" t="b">
        <v>1</v>
      </c>
      <c r="E77" s="4" t="b">
        <v>1</v>
      </c>
      <c r="F77" s="3"/>
      <c r="G77" s="3" t="s">
        <v>147</v>
      </c>
      <c r="H77" s="3" t="s">
        <v>144</v>
      </c>
      <c r="I77" s="3"/>
      <c r="J77" s="3"/>
      <c r="K77" s="3">
        <v>3</v>
      </c>
      <c r="L77" s="5" t="s">
        <v>66</v>
      </c>
      <c r="M77" s="6">
        <v>0.1</v>
      </c>
      <c r="N77" s="7"/>
      <c r="O77" s="7"/>
      <c r="P77" s="7">
        <f>M77</f>
        <v>0.1</v>
      </c>
      <c r="Q77" s="7">
        <f>ROUND(P77*IF(C77,PriceAnalytics,PriceLake),2)</f>
        <v>0.5</v>
      </c>
      <c r="R77" s="7">
        <f>ROUND(P77*IF(C77,PriceAnalytics,PriceLake)*DaysPerMonth,0)</f>
        <v>15.0</v>
      </c>
      <c r="S77" s="7">
        <f>ROUND(M77*IF(C77,MAX(RetAnalyticsTotal-FreeRetDays,0),RetLakeTotal)/6*PriceStorage,0)</f>
        <v>0.0</v>
      </c>
    </row>
    <row r="78" spans="1:19" ht="40" customHeight="1">
      <c r="A78" s="3" t="s">
        <v>159</v>
      </c>
      <c r="B78" s="3" t="s">
        <v>156</v>
      </c>
      <c r="C78" s="4" t="b">
        <v>1</v>
      </c>
      <c r="D78" s="4" t="b">
        <v>1</v>
      </c>
      <c r="E78" s="4" t="b">
        <v>1</v>
      </c>
      <c r="F78" s="3"/>
      <c r="G78" s="3" t="s">
        <v>147</v>
      </c>
      <c r="H78" s="3" t="s">
        <v>144</v>
      </c>
      <c r="I78" s="3"/>
      <c r="J78" s="3"/>
      <c r="K78" s="3">
        <v>3</v>
      </c>
      <c r="L78" s="5" t="s">
        <v>66</v>
      </c>
      <c r="M78" s="6">
        <v>0.02</v>
      </c>
      <c r="N78" s="7"/>
      <c r="O78" s="7"/>
      <c r="P78" s="7">
        <f>M78</f>
        <v>0.02</v>
      </c>
      <c r="Q78" s="7">
        <f>ROUND(P78*IF(C78,PriceAnalytics,PriceLake),2)</f>
        <v>0.1</v>
      </c>
      <c r="R78" s="7">
        <f>ROUND(P78*IF(C78,PriceAnalytics,PriceLake)*DaysPerMonth,0)</f>
        <v>3.0</v>
      </c>
      <c r="S78" s="7">
        <f>ROUND(M78*IF(C78,MAX(RetAnalyticsTotal-FreeRetDays,0),RetLakeTotal)/6*PriceStorage,0)</f>
        <v>0.0</v>
      </c>
    </row>
    <row r="79" spans="1:19" ht="40" customHeight="1">
      <c r="A79" s="3" t="s">
        <v>159</v>
      </c>
      <c r="B79" s="3" t="s">
        <v>157</v>
      </c>
      <c r="C79" s="4" t="b">
        <v>1</v>
      </c>
      <c r="D79" s="4" t="b">
        <v>1</v>
      </c>
      <c r="E79" s="4" t="b">
        <v>1</v>
      </c>
      <c r="F79" s="3"/>
      <c r="G79" s="3" t="s">
        <v>147</v>
      </c>
      <c r="H79" s="3" t="s">
        <v>144</v>
      </c>
      <c r="I79" s="3"/>
      <c r="J79" s="3"/>
      <c r="K79" s="3">
        <v>3</v>
      </c>
      <c r="L79" s="5" t="s">
        <v>66</v>
      </c>
      <c r="M79" s="6">
        <v>0</v>
      </c>
      <c r="N79" s="7"/>
      <c r="O79" s="7"/>
      <c r="P79" s="7">
        <f>M79</f>
        <v>0</v>
      </c>
      <c r="Q79" s="7">
        <f>ROUND(P79*IF(C79,PriceAnalytics,PriceLake),2)</f>
        <v>0.0</v>
      </c>
      <c r="R79" s="7">
        <f>ROUND(P79*IF(C79,PriceAnalytics,PriceLake)*DaysPerMonth,0)</f>
        <v>0.0</v>
      </c>
      <c r="S79" s="7">
        <f>ROUND(M79*IF(C79,MAX(RetAnalyticsTotal-FreeRetDays,0),RetLakeTotal)/6*PriceStorage,0)</f>
        <v>0.0</v>
      </c>
    </row>
    <row r="80" spans="1:19" ht="28" customHeight="1">
      <c r="A80" s="3" t="s">
        <v>159</v>
      </c>
      <c r="B80" s="3" t="s">
        <v>158</v>
      </c>
      <c r="C80" s="4" t="b">
        <v>0</v>
      </c>
      <c r="D80" s="4" t="b">
        <v>0</v>
      </c>
      <c r="E80" s="4" t="b">
        <v>1</v>
      </c>
      <c r="F80" s="3"/>
      <c r="G80" s="3" t="s">
        <v>50</v>
      </c>
      <c r="H80" s="3" t="s">
        <v>144</v>
      </c>
      <c r="I80" s="3"/>
      <c r="J80" s="3"/>
      <c r="K80" s="3">
        <v>0</v>
      </c>
      <c r="L80" s="3"/>
      <c r="M80" s="3"/>
      <c r="N80" s="3"/>
      <c r="O80" s="3"/>
      <c r="P80" s="3"/>
      <c r="Q80" s="3"/>
      <c r="R80" s="3"/>
      <c r="S80" s="3"/>
    </row>
  </sheetData>
  <autoFilter ref="A1:S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30"/>
  <sheetViews>
    <sheetView zoomScale="90" zoomScaleNormal="90" workbookViewId="0"/>
  </sheetViews>
  <sheetFormatPr defaultRowHeight="15"/>
  <cols>
    <col min="1" max="1" width="2.7109375" customWidth="1"/>
    <col min="2" max="2" width="16.7109375" customWidth="1"/>
    <col min="3" max="5" width="18.7109375" customWidth="1"/>
    <col min="6" max="6" width="21.7109375" customWidth="1"/>
    <col min="7" max="7" width="3.7109375" customWidth="1"/>
    <col min="8" max="8" width="46.7109375" customWidth="1"/>
    <col min="9" max="12" width="21.7109375" customWidth="1"/>
  </cols>
  <sheetData>
    <row r="1" spans="2:12">
      <c r="B1" s="10" t="s">
        <v>173</v>
      </c>
      <c r="C1" s="11" t="s">
        <v>17</v>
      </c>
      <c r="D1" s="11" t="s">
        <v>186</v>
      </c>
      <c r="E1" s="11" t="s">
        <v>187</v>
      </c>
      <c r="F1" s="11" t="s">
        <v>188</v>
      </c>
      <c r="H1" s="11" t="s">
        <v>160</v>
      </c>
      <c r="I1" s="12" t="s">
        <v>161</v>
      </c>
      <c r="J1" s="12" t="s">
        <v>162</v>
      </c>
      <c r="K1" s="12" t="s">
        <v>163</v>
      </c>
      <c r="L1" s="12" t="s">
        <v>164</v>
      </c>
    </row>
    <row r="2" spans="2:12">
      <c r="B2" s="10" t="s">
        <v>165</v>
      </c>
      <c r="C2" s="13">
        <f>$I2*PriceAnalytics*DaysPerMonth</f>
        <v>15710.908190416667</v>
      </c>
      <c r="D2" s="13">
        <f>$K2+$L2</f>
        <v>1480.0</v>
      </c>
      <c r="E2" s="14">
        <f>C2+D2</f>
        <v>17190.908190416667</v>
      </c>
      <c r="F2" s="13">
        <f>E2*12</f>
        <v>206290.898285</v>
      </c>
      <c r="H2" s="15" t="s">
        <v>165</v>
      </c>
      <c r="I2" s="16">
        <f>SUMIFS('Log Types'!$P$2:$P$80,'Log Types'!$K$2:$K$80,"&gt;=1",'Log Types'!$K$2:$K$80,"&lt;=1",'Log Types'!$C$2:$C$80,TRUE)</f>
        <v>103.63</v>
      </c>
      <c r="J2" s="16">
        <f>SUMIFS('Log Types'!$P$2:$P$80,'Log Types'!$K$2:$K$80,"&gt;=1",'Log Types'!$K$2:$K$80,"&lt;=1",'Log Types'!$C$2:$C$80,FALSE)</f>
        <v>181.15</v>
      </c>
      <c r="K2" s="17">
        <f>SUMIFS('Log Types'!$R$2:$R$80,'Log Types'!$K$2:$K$80,"&gt;=1",'Log Types'!$K$2:$K$80,"&lt;=1",'Log Types'!$C$2:$C$80,FALSE)</f>
        <v>986.0</v>
      </c>
      <c r="L2" s="17">
        <f>SUMIFS('Log Types'!$S$2:$S$80,'Log Types'!$K$2:$K$80,"&gt;=1",'Log Types'!$K$2:$K$80,"&lt;=1")</f>
        <v>494.0</v>
      </c>
    </row>
    <row r="3" spans="2:12">
      <c r="B3" s="10" t="s">
        <v>166</v>
      </c>
      <c r="C3" s="13">
        <f>$I3*PriceAnalytics*DaysPerMonth</f>
        <v>23464.028376249997</v>
      </c>
      <c r="D3" s="13">
        <f>$K3+$L3</f>
        <v>1619.0</v>
      </c>
      <c r="E3" s="14">
        <f>C3+D3</f>
        <v>25083.028376249997</v>
      </c>
      <c r="F3" s="13">
        <f>E3*12</f>
        <v>300996.34051499993</v>
      </c>
      <c r="H3" s="15" t="s">
        <v>166</v>
      </c>
      <c r="I3" s="16">
        <f>SUMIFS('Log Types'!$P$2:$P$80,'Log Types'!$K$2:$K$80,"&gt;=1",'Log Types'!$K$2:$K$80,"&lt;=2",'Log Types'!$C$2:$C$80,TRUE)</f>
        <v>154.76999999999998</v>
      </c>
      <c r="J3" s="16">
        <f>SUMIFS('Log Types'!$P$2:$P$80,'Log Types'!$K$2:$K$80,"&gt;=1",'Log Types'!$K$2:$K$80,"&lt;=2",'Log Types'!$C$2:$C$80,FALSE)</f>
        <v>184.15</v>
      </c>
      <c r="K3" s="17">
        <f>SUMIFS('Log Types'!$R$2:$R$80,'Log Types'!$K$2:$K$80,"&gt;=1",'Log Types'!$K$2:$K$80,"&lt;=2",'Log Types'!$C$2:$C$80,FALSE)</f>
        <v>1002.0</v>
      </c>
      <c r="L3" s="17">
        <f>SUMIFS('Log Types'!$S$2:$S$80,'Log Types'!$K$2:$K$80,"&gt;=1",'Log Types'!$K$2:$K$80,"&lt;=2")</f>
        <v>617.0</v>
      </c>
    </row>
    <row r="4" spans="2:12">
      <c r="B4" s="10" t="s">
        <v>167</v>
      </c>
      <c r="C4" s="13">
        <f>$I4*PriceAnalytics*DaysPerMonth</f>
        <v>24764.80606875</v>
      </c>
      <c r="D4" s="13">
        <f>$K4+$L4</f>
        <v>1658.0</v>
      </c>
      <c r="E4" s="14">
        <f>C4+D4</f>
        <v>26422.80606875</v>
      </c>
      <c r="F4" s="13">
        <f>E4*12</f>
        <v>317073.672825</v>
      </c>
      <c r="H4" s="15" t="s">
        <v>167</v>
      </c>
      <c r="I4" s="16">
        <f>SUMIFS('Log Types'!$P$2:$P$80,'Log Types'!$K$2:$K$80,"&gt;=1",'Log Types'!$K$2:$K$80,"&lt;=3",'Log Types'!$C$2:$C$80,TRUE)</f>
        <v>163.35</v>
      </c>
      <c r="J4" s="16">
        <f>SUMIFS('Log Types'!$P$2:$P$80,'Log Types'!$K$2:$K$80,"&gt;=1",'Log Types'!$K$2:$K$80,"&lt;=3",'Log Types'!$C$2:$C$80,FALSE)</f>
        <v>187.15</v>
      </c>
      <c r="K4" s="17">
        <f>SUMIFS('Log Types'!$R$2:$R$80,'Log Types'!$K$2:$K$80,"&gt;=1",'Log Types'!$K$2:$K$80,"&lt;=3",'Log Types'!$C$2:$C$80,FALSE)</f>
        <v>1018.0</v>
      </c>
      <c r="L4" s="17">
        <f>SUMIFS('Log Types'!$S$2:$S$80,'Log Types'!$K$2:$K$80,"&gt;=1",'Log Types'!$K$2:$K$80,"&lt;=3")</f>
        <v>640.0</v>
      </c>
    </row>
    <row r="6" spans="2:12">
      <c r="B6" s="10" t="s">
        <v>189</v>
      </c>
      <c r="C6" s="11" t="s">
        <v>17</v>
      </c>
      <c r="D6" s="11" t="s">
        <v>186</v>
      </c>
      <c r="E6" s="11" t="s">
        <v>187</v>
      </c>
      <c r="F6" s="11" t="s">
        <v>188</v>
      </c>
      <c r="H6" s="11" t="s">
        <v>168</v>
      </c>
      <c r="I6" s="12" t="s">
        <v>169</v>
      </c>
      <c r="J6" s="12" t="s">
        <v>170</v>
      </c>
      <c r="K6" s="12" t="s">
        <v>171</v>
      </c>
      <c r="L6" s="12" t="s">
        <v>172</v>
      </c>
    </row>
    <row r="7" spans="2:12">
      <c r="B7" s="10" t="s">
        <v>165</v>
      </c>
      <c r="C7" s="13">
        <f>MAX($J$8,$I2*$K$8)*DaysPerMonth</f>
        <v>12095.908373175002</v>
      </c>
      <c r="D7" s="13">
        <f>$K2+$L2</f>
        <v>1480.0</v>
      </c>
      <c r="E7" s="14">
        <f>C7+D7</f>
        <v>13575.908373175002</v>
      </c>
      <c r="F7" s="13">
        <f>E7*12</f>
        <v>162910.90047810003</v>
      </c>
      <c r="H7" s="15" t="s">
        <v>173</v>
      </c>
      <c r="I7" s="15"/>
      <c r="J7" s="15"/>
      <c r="K7" s="18">
        <f>PriceAnalytics</f>
        <v>4.9843</v>
      </c>
      <c r="L7" s="19">
        <f>1-K7/$K$7</f>
        <v>0</v>
      </c>
    </row>
    <row r="8" spans="2:12">
      <c r="B8" s="10" t="s">
        <v>166</v>
      </c>
      <c r="C8" s="13">
        <f>MAX($J$8,$I3*$K$8)*DaysPerMonth</f>
        <v>18065.075160825</v>
      </c>
      <c r="D8" s="13">
        <f>$K3+$L3</f>
        <v>1619.0</v>
      </c>
      <c r="E8" s="14">
        <f>C8+D8</f>
        <v>19684.075160825</v>
      </c>
      <c r="F8" s="13">
        <f>E8*12</f>
        <v>236208.9019299</v>
      </c>
      <c r="H8" s="15" t="s">
        <v>174</v>
      </c>
      <c r="I8" s="20">
        <v>50</v>
      </c>
      <c r="J8" s="21">
        <v>191.8719</v>
      </c>
      <c r="K8" s="18">
        <f>J8/I8</f>
        <v>3.837438</v>
      </c>
      <c r="L8" s="19">
        <f>1-K8/$K$7</f>
        <v>0.2300948979796561</v>
      </c>
    </row>
    <row r="9" spans="2:12">
      <c r="B9" s="10" t="s">
        <v>167</v>
      </c>
      <c r="C9" s="13">
        <f>MAX($J$8,$I4*$K$8)*DaysPerMonth</f>
        <v>19066.550542875</v>
      </c>
      <c r="D9" s="13">
        <f>$K4+$L4</f>
        <v>1658.0</v>
      </c>
      <c r="E9" s="14">
        <f>C9+D9</f>
        <v>20724.550542875</v>
      </c>
      <c r="F9" s="13">
        <f>E9*12</f>
        <v>248694.6065145</v>
      </c>
      <c r="H9" s="15" t="s">
        <v>175</v>
      </c>
      <c r="I9" s="20">
        <v>100</v>
      </c>
      <c r="J9" s="21">
        <v>322.7217</v>
      </c>
      <c r="K9" s="18">
        <f>J9/I9</f>
        <v>3.227217</v>
      </c>
      <c r="L9" s="19">
        <f>1-K9/$K$7</f>
        <v>0.3525235238649359</v>
      </c>
    </row>
    <row r="10" spans="2:12">
      <c r="H10" s="15" t="s">
        <v>176</v>
      </c>
      <c r="I10" s="20">
        <v>200</v>
      </c>
      <c r="J10" s="21">
        <v>597.2148</v>
      </c>
      <c r="K10" s="18">
        <f>J10/I10</f>
        <v>2.986074</v>
      </c>
      <c r="L10" s="19">
        <f>1-K10/$K$7</f>
        <v>0.40090403868145985</v>
      </c>
    </row>
    <row r="11" spans="2:12">
      <c r="B11" s="10" t="s">
        <v>175</v>
      </c>
      <c r="C11" s="11" t="s">
        <v>17</v>
      </c>
      <c r="D11" s="11" t="s">
        <v>186</v>
      </c>
      <c r="E11" s="11" t="s">
        <v>187</v>
      </c>
      <c r="F11" s="11" t="s">
        <v>188</v>
      </c>
      <c r="H11" s="22" t="s">
        <v>177</v>
      </c>
      <c r="I11" s="22"/>
      <c r="J11" s="22"/>
      <c r="K11" s="22"/>
      <c r="L11" s="22"/>
    </row>
    <row r="12" spans="2:12">
      <c r="B12" s="10" t="s">
        <v>165</v>
      </c>
      <c r="C12" s="13">
        <f>MAX($J$9,$I2*$K$9)*DaysPerMonth</f>
        <v>10172.4434720125</v>
      </c>
      <c r="D12" s="13">
        <f>$K2+$L2</f>
        <v>1480.0</v>
      </c>
      <c r="E12" s="14">
        <f>C12+D12</f>
        <v>11652.4434720125</v>
      </c>
      <c r="F12" s="13">
        <f>E12*12</f>
        <v>139829.32166415</v>
      </c>
    </row>
    <row r="13" spans="2:12">
      <c r="B13" s="10" t="s">
        <v>166</v>
      </c>
      <c r="C13" s="13">
        <f>MAX($J$9,$I3*$K$9)*DaysPerMonth</f>
        <v>15192.406408987497</v>
      </c>
      <c r="D13" s="13">
        <f>$K3+$L3</f>
        <v>1619.0</v>
      </c>
      <c r="E13" s="14">
        <f>C13+D13</f>
        <v>16811.406408987496</v>
      </c>
      <c r="F13" s="13">
        <f>E13*12</f>
        <v>201736.87690784995</v>
      </c>
      <c r="H13" s="23" t="s">
        <v>178</v>
      </c>
      <c r="I13" s="23"/>
      <c r="J13" s="23"/>
      <c r="K13" s="23"/>
      <c r="L13" s="23"/>
    </row>
    <row r="14" spans="2:12">
      <c r="B14" s="10" t="s">
        <v>167</v>
      </c>
      <c r="C14" s="13">
        <f>MAX($J$9,$I4*$K$9)*DaysPerMonth</f>
        <v>16034.629365562498</v>
      </c>
      <c r="D14" s="13">
        <f>$K4+$L4</f>
        <v>1658.0</v>
      </c>
      <c r="E14" s="14">
        <f>C14+D14</f>
        <v>17692.629365562498</v>
      </c>
      <c r="F14" s="13">
        <f>E14*12</f>
        <v>212311.55238674997</v>
      </c>
      <c r="H14" s="10" t="s">
        <v>179</v>
      </c>
      <c r="I14" s="21">
        <v>4.9843</v>
      </c>
    </row>
    <row r="15" spans="2:12">
      <c r="H15" s="10" t="s">
        <v>180</v>
      </c>
      <c r="I15" s="21">
        <v>0.1785</v>
      </c>
    </row>
    <row r="16" spans="2:12">
      <c r="B16" s="10" t="s">
        <v>176</v>
      </c>
      <c r="C16" s="11" t="s">
        <v>17</v>
      </c>
      <c r="D16" s="11" t="s">
        <v>186</v>
      </c>
      <c r="E16" s="11" t="s">
        <v>187</v>
      </c>
      <c r="F16" s="11" t="s">
        <v>188</v>
      </c>
      <c r="H16" s="10" t="s">
        <v>181</v>
      </c>
      <c r="I16" s="21">
        <v>0.022</v>
      </c>
    </row>
    <row r="17" spans="2:9">
      <c r="B17" s="10" t="s">
        <v>165</v>
      </c>
      <c r="C17" s="13">
        <f>MAX($J$10,$I2*$K$10)*DaysPerMonth</f>
        <v>18165.2835</v>
      </c>
      <c r="D17" s="13">
        <f>$K2+$L2</f>
        <v>1480.0</v>
      </c>
      <c r="E17" s="14">
        <f>C17+D17</f>
        <v>19645.2835</v>
      </c>
      <c r="F17" s="13">
        <f>E17*12</f>
        <v>235743.402</v>
      </c>
      <c r="H17" s="10" t="s">
        <v>182</v>
      </c>
      <c r="I17" s="20">
        <v>730</v>
      </c>
    </row>
    <row r="18" spans="2:9">
      <c r="B18" s="10" t="s">
        <v>166</v>
      </c>
      <c r="C18" s="13">
        <f>MAX($J$10,$I3*$K$10)*DaysPerMonth</f>
        <v>18165.2835</v>
      </c>
      <c r="D18" s="13">
        <f>$K3+$L3</f>
        <v>1619.0</v>
      </c>
      <c r="E18" s="14">
        <f>C18+D18</f>
        <v>19784.2835</v>
      </c>
      <c r="F18" s="13">
        <f>E18*12</f>
        <v>237411.402</v>
      </c>
      <c r="H18" s="10" t="s">
        <v>183</v>
      </c>
      <c r="I18" s="20">
        <v>365</v>
      </c>
    </row>
    <row r="19" spans="2:9">
      <c r="B19" s="10" t="s">
        <v>167</v>
      </c>
      <c r="C19" s="13">
        <f>MAX($J$10,$I4*$K$10)*DaysPerMonth</f>
        <v>18165.2835</v>
      </c>
      <c r="D19" s="13">
        <f>$K4+$L4</f>
        <v>1658.0</v>
      </c>
      <c r="E19" s="14">
        <f>C19+D19</f>
        <v>19823.2835</v>
      </c>
      <c r="F19" s="13">
        <f>E19*12</f>
        <v>237879.402</v>
      </c>
      <c r="H19" s="10" t="s">
        <v>184</v>
      </c>
      <c r="I19" s="20">
        <v>90</v>
      </c>
    </row>
    <row r="20" spans="2:9">
      <c r="H20" s="10" t="s">
        <v>185</v>
      </c>
      <c r="I20" s="24">
        <f>365/12</f>
        <v>30.416666666666668</v>
      </c>
    </row>
    <row r="21" spans="2:9">
      <c r="B21" s="25" t="s">
        <v>190</v>
      </c>
      <c r="C21" s="11" t="s">
        <v>191</v>
      </c>
      <c r="D21" s="11" t="s">
        <v>187</v>
      </c>
      <c r="E21" s="11" t="s">
        <v>188</v>
      </c>
      <c r="F21" s="11" t="s">
        <v>192</v>
      </c>
    </row>
    <row r="22" spans="2:9">
      <c r="B22" s="10" t="s">
        <v>165</v>
      </c>
      <c r="C22" s="26" t="str">
        <f>IF(E2=MIN(E2,E7,E12,E17),"Pay as you go",IF(E7=MIN(E2,E7,E12,E17),"50 GB/day",IF(E12=MIN(E2,E7,E12,E17),"100 GB/day","200 GB/day")))</f>
        <v>100 GB/day</v>
      </c>
      <c r="D22" s="14">
        <f>MIN(E2,E7,E12,E17)</f>
        <v>11652.4434720125</v>
      </c>
      <c r="E22" s="13">
        <f>D22*12</f>
        <v>139829.32166415</v>
      </c>
      <c r="F22" s="13">
        <f>(E2-D22)*12</f>
        <v>66461.57662085001</v>
      </c>
    </row>
    <row r="23" spans="2:9">
      <c r="B23" s="10" t="s">
        <v>166</v>
      </c>
      <c r="C23" s="26" t="str">
        <f>IF(E3=MIN(E3,E8,E13,E18),"Pay as you go",IF(E8=MIN(E3,E8,E13,E18),"50 GB/day",IF(E13=MIN(E3,E8,E13,E18),"100 GB/day","200 GB/day")))</f>
        <v>100 GB/day</v>
      </c>
      <c r="D23" s="14">
        <f>MIN(E3,E8,E13,E18)</f>
        <v>16811.406408987496</v>
      </c>
      <c r="E23" s="13">
        <f>D23*12</f>
        <v>201736.87690784995</v>
      </c>
      <c r="F23" s="13">
        <f>(E3-D23)*12</f>
        <v>99259.46360715001</v>
      </c>
    </row>
    <row r="24" spans="2:9">
      <c r="B24" s="10" t="s">
        <v>167</v>
      </c>
      <c r="C24" s="26" t="str">
        <f>IF(E4=MIN(E4,E9,E14,E19),"Pay as you go",IF(E9=MIN(E4,E9,E14,E19),"50 GB/day",IF(E14=MIN(E4,E9,E14,E19),"100 GB/day","200 GB/day")))</f>
        <v>100 GB/day</v>
      </c>
      <c r="D24" s="14">
        <f>MIN(E4,E9,E14,E19)</f>
        <v>17692.629365562498</v>
      </c>
      <c r="E24" s="13">
        <f>D24*12</f>
        <v>212311.55238674997</v>
      </c>
      <c r="F24" s="13">
        <f>(E4-D24)*12</f>
        <v>104762.12043825003</v>
      </c>
    </row>
    <row r="26" spans="2:9" ht="29" customHeight="1">
      <c r="B26" s="22" t="s">
        <v>193</v>
      </c>
      <c r="C26" s="22"/>
      <c r="D26" s="22"/>
      <c r="E26" s="22"/>
      <c r="F26" s="22"/>
    </row>
    <row r="27" spans="2:9" ht="42" customHeight="1">
      <c r="B27" s="22" t="s">
        <v>194</v>
      </c>
      <c r="C27" s="22"/>
      <c r="D27" s="22"/>
      <c r="E27" s="22"/>
      <c r="F27" s="22"/>
    </row>
    <row r="28" spans="2:9" ht="29" customHeight="1">
      <c r="B28" s="22" t="s">
        <v>195</v>
      </c>
      <c r="C28" s="22"/>
      <c r="D28" s="22"/>
      <c r="E28" s="22"/>
      <c r="F28" s="22"/>
    </row>
    <row r="29" spans="2:9" ht="29" customHeight="1">
      <c r="B29" s="22" t="s">
        <v>196</v>
      </c>
      <c r="C29" s="22"/>
      <c r="D29" s="22"/>
      <c r="E29" s="22"/>
      <c r="F29" s="22"/>
    </row>
    <row r="30" spans="2:9" ht="16" customHeight="1">
      <c r="B30" s="22" t="s">
        <v>197</v>
      </c>
      <c r="C30" s="22"/>
      <c r="D30" s="22"/>
      <c r="E30" s="22"/>
      <c r="F30" s="22"/>
    </row>
  </sheetData>
  <mergeCells count="7">
    <mergeCell ref="H11:L11"/>
    <mergeCell ref="H13:L13"/>
    <mergeCell ref="B26:F26"/>
    <mergeCell ref="B27:F27"/>
    <mergeCell ref="B28:F28"/>
    <mergeCell ref="B29:F29"/>
    <mergeCell ref="B30:F30"/>
  </mergeCells>
  <conditionalFormatting sqref="E12:E14">
    <cfRule type="expression" dxfId="0" priority="3">
      <formula>E12=MIN($E2,$E7,$E12,$E17)</formula>
    </cfRule>
  </conditionalFormatting>
  <conditionalFormatting sqref="E17:E19">
    <cfRule type="expression" dxfId="0" priority="4">
      <formula>E17=MIN($E2,$E7,$E12,$E17)</formula>
    </cfRule>
  </conditionalFormatting>
  <conditionalFormatting sqref="E2:E4">
    <cfRule type="expression" dxfId="0" priority="1">
      <formula>E2=MIN($E2,$E7,$E12,$E17)</formula>
    </cfRule>
  </conditionalFormatting>
  <conditionalFormatting sqref="E7:E9">
    <cfRule type="expression" dxfId="0" priority="2">
      <formula>E7=MIN($E2,$E7,$E12,$E17)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54"/>
  <sheetViews>
    <sheetView showGridLines="0" zoomScale="90" zoomScaleNormal="90" workbookViewId="0"/>
  </sheetViews>
  <sheetFormatPr defaultRowHeight="15"/>
  <cols>
    <col min="1" max="1" width="2.7109375" customWidth="1"/>
    <col min="2" max="2" width="7.7109375" customWidth="1"/>
    <col min="3" max="3" width="34.7109375" customWidth="1"/>
    <col min="4" max="4" width="28.7109375" customWidth="1"/>
    <col min="5" max="5" width="12.7109375" customWidth="1"/>
    <col min="6" max="6" width="10.7109375" customWidth="1"/>
    <col min="7" max="7" width="11.7109375" customWidth="1"/>
    <col min="8" max="8" width="80.7109375" customWidth="1"/>
  </cols>
  <sheetData>
    <row r="1" spans="2:8">
      <c r="B1" s="27" t="s">
        <v>198</v>
      </c>
    </row>
    <row r="3" spans="2:8">
      <c r="B3" s="6" t="s">
        <v>66</v>
      </c>
      <c r="C3" s="28" t="s">
        <v>199</v>
      </c>
      <c r="D3" s="28"/>
      <c r="E3" s="28"/>
      <c r="F3" s="28"/>
      <c r="G3" s="28"/>
      <c r="H3" s="28"/>
    </row>
    <row r="4" spans="2:8">
      <c r="C4" s="28" t="s">
        <v>200</v>
      </c>
      <c r="D4" s="28"/>
      <c r="E4" s="28"/>
      <c r="F4" s="28"/>
      <c r="G4" s="28"/>
      <c r="H4" s="28"/>
    </row>
    <row r="5" spans="2:8" ht="26" customHeight="1">
      <c r="C5" s="28" t="s">
        <v>201</v>
      </c>
      <c r="D5" s="28"/>
      <c r="E5" s="28"/>
      <c r="F5" s="28"/>
      <c r="G5" s="28"/>
      <c r="H5" s="28"/>
    </row>
    <row r="7" spans="2:8" ht="22" customHeight="1">
      <c r="B7" s="29" t="s">
        <v>202</v>
      </c>
      <c r="C7" s="29" t="s">
        <v>1</v>
      </c>
      <c r="D7" s="29" t="s">
        <v>203</v>
      </c>
      <c r="E7" s="29" t="s">
        <v>204</v>
      </c>
      <c r="F7" s="29" t="s">
        <v>205</v>
      </c>
      <c r="G7" s="29" t="s">
        <v>206</v>
      </c>
      <c r="H7" s="29" t="s">
        <v>207</v>
      </c>
    </row>
    <row r="8" spans="2:8" ht="63" customHeight="1">
      <c r="B8" s="30">
        <v>16</v>
      </c>
      <c r="C8" s="31" t="s">
        <v>62</v>
      </c>
      <c r="D8" s="31" t="s">
        <v>65</v>
      </c>
      <c r="E8" s="31" t="s">
        <v>208</v>
      </c>
      <c r="F8" s="30">
        <v>0.5</v>
      </c>
      <c r="G8" s="31" t="s">
        <v>209</v>
      </c>
      <c r="H8" s="31" t="s">
        <v>210</v>
      </c>
    </row>
    <row r="9" spans="2:8" ht="27" customHeight="1">
      <c r="B9" s="30">
        <v>27</v>
      </c>
      <c r="C9" s="31" t="s">
        <v>82</v>
      </c>
      <c r="D9" s="31" t="s">
        <v>211</v>
      </c>
      <c r="E9" s="31" t="s">
        <v>212</v>
      </c>
      <c r="F9" s="30">
        <v>0.5</v>
      </c>
      <c r="G9" s="31" t="s">
        <v>213</v>
      </c>
      <c r="H9" s="31" t="s">
        <v>214</v>
      </c>
    </row>
    <row r="10" spans="2:8" ht="39" customHeight="1">
      <c r="B10" s="30">
        <v>29</v>
      </c>
      <c r="C10" s="31" t="s">
        <v>88</v>
      </c>
      <c r="D10" s="31" t="s">
        <v>211</v>
      </c>
      <c r="E10" s="31" t="s">
        <v>208</v>
      </c>
      <c r="F10" s="30">
        <v>2</v>
      </c>
      <c r="G10" s="31" t="s">
        <v>215</v>
      </c>
      <c r="H10" s="31" t="s">
        <v>216</v>
      </c>
    </row>
    <row r="11" spans="2:8">
      <c r="B11" s="30">
        <v>30</v>
      </c>
      <c r="C11" s="31" t="s">
        <v>90</v>
      </c>
      <c r="D11" s="31" t="s">
        <v>93</v>
      </c>
      <c r="E11" s="31" t="s">
        <v>217</v>
      </c>
      <c r="F11" s="30">
        <v>23.33</v>
      </c>
      <c r="G11" s="31" t="s">
        <v>218</v>
      </c>
      <c r="H11" s="31" t="s">
        <v>219</v>
      </c>
    </row>
    <row r="12" spans="2:8" ht="39" customHeight="1">
      <c r="B12" s="30">
        <v>31</v>
      </c>
      <c r="C12" s="31" t="s">
        <v>94</v>
      </c>
      <c r="D12" s="31" t="s">
        <v>95</v>
      </c>
      <c r="E12" s="31" t="s">
        <v>220</v>
      </c>
      <c r="F12" s="30">
        <v>48.4</v>
      </c>
      <c r="G12" s="31" t="s">
        <v>218</v>
      </c>
      <c r="H12" s="31" t="s">
        <v>221</v>
      </c>
    </row>
    <row r="13" spans="2:8" ht="27" customHeight="1">
      <c r="B13" s="30">
        <v>32</v>
      </c>
      <c r="C13" s="31" t="s">
        <v>96</v>
      </c>
      <c r="D13" s="31" t="s">
        <v>98</v>
      </c>
      <c r="E13" s="31" t="s">
        <v>208</v>
      </c>
      <c r="F13" s="30">
        <v>14.52</v>
      </c>
      <c r="G13" s="31" t="s">
        <v>222</v>
      </c>
      <c r="H13" s="31" t="s">
        <v>223</v>
      </c>
    </row>
    <row r="14" spans="2:8" ht="27" customHeight="1">
      <c r="B14" s="30">
        <v>33</v>
      </c>
      <c r="C14" s="31" t="s">
        <v>99</v>
      </c>
      <c r="D14" s="31" t="s">
        <v>100</v>
      </c>
      <c r="E14" s="31" t="s">
        <v>220</v>
      </c>
      <c r="F14" s="30">
        <v>112.14</v>
      </c>
      <c r="G14" s="31" t="s">
        <v>218</v>
      </c>
      <c r="H14" s="31" t="s">
        <v>224</v>
      </c>
    </row>
    <row r="15" spans="2:8" ht="27" customHeight="1">
      <c r="B15" s="30">
        <v>34</v>
      </c>
      <c r="C15" s="31" t="s">
        <v>101</v>
      </c>
      <c r="D15" s="31" t="s">
        <v>102</v>
      </c>
      <c r="E15" s="31" t="s">
        <v>208</v>
      </c>
      <c r="F15" s="30">
        <v>28.04</v>
      </c>
      <c r="G15" s="31" t="s">
        <v>225</v>
      </c>
      <c r="H15" s="31" t="s">
        <v>226</v>
      </c>
    </row>
    <row r="16" spans="2:8" ht="27" customHeight="1">
      <c r="B16" s="30">
        <v>36</v>
      </c>
      <c r="C16" s="31" t="s">
        <v>104</v>
      </c>
      <c r="D16" s="31" t="s">
        <v>227</v>
      </c>
      <c r="E16" s="31" t="s">
        <v>212</v>
      </c>
      <c r="F16" s="30">
        <v>10</v>
      </c>
      <c r="G16" s="31" t="s">
        <v>228</v>
      </c>
      <c r="H16" s="31" t="s">
        <v>229</v>
      </c>
    </row>
    <row r="17" spans="2:8">
      <c r="B17" s="30">
        <v>38</v>
      </c>
      <c r="C17" s="31" t="s">
        <v>106</v>
      </c>
      <c r="D17" s="31" t="s">
        <v>230</v>
      </c>
      <c r="E17" s="31" t="s">
        <v>212</v>
      </c>
      <c r="F17" s="30">
        <v>0.1</v>
      </c>
      <c r="G17" s="31" t="s">
        <v>231</v>
      </c>
      <c r="H17" s="31" t="s">
        <v>232</v>
      </c>
    </row>
    <row r="18" spans="2:8" ht="27" customHeight="1">
      <c r="B18" s="30">
        <v>39</v>
      </c>
      <c r="C18" s="31" t="s">
        <v>108</v>
      </c>
      <c r="D18" s="31" t="s">
        <v>233</v>
      </c>
      <c r="E18" s="31" t="s">
        <v>212</v>
      </c>
      <c r="F18" s="30">
        <v>3</v>
      </c>
      <c r="G18" s="31" t="s">
        <v>234</v>
      </c>
      <c r="H18" s="31" t="s">
        <v>235</v>
      </c>
    </row>
    <row r="19" spans="2:8" ht="27" customHeight="1">
      <c r="B19" s="30">
        <v>40</v>
      </c>
      <c r="C19" s="31" t="s">
        <v>108</v>
      </c>
      <c r="D19" s="31" t="s">
        <v>112</v>
      </c>
      <c r="E19" s="31" t="s">
        <v>217</v>
      </c>
      <c r="F19" s="30">
        <v>0.09</v>
      </c>
      <c r="G19" s="31" t="s">
        <v>218</v>
      </c>
      <c r="H19" s="31" t="s">
        <v>236</v>
      </c>
    </row>
    <row r="20" spans="2:8" ht="27" customHeight="1">
      <c r="B20" s="30">
        <v>41</v>
      </c>
      <c r="C20" s="31" t="s">
        <v>113</v>
      </c>
      <c r="D20" s="31" t="s">
        <v>115</v>
      </c>
      <c r="E20" s="31" t="s">
        <v>208</v>
      </c>
      <c r="F20" s="30">
        <v>0.05</v>
      </c>
      <c r="G20" s="31" t="s">
        <v>237</v>
      </c>
      <c r="H20" s="31" t="s">
        <v>238</v>
      </c>
    </row>
    <row r="21" spans="2:8" ht="27" customHeight="1">
      <c r="B21" s="30">
        <v>42</v>
      </c>
      <c r="C21" s="31" t="s">
        <v>116</v>
      </c>
      <c r="D21" s="31" t="s">
        <v>218</v>
      </c>
      <c r="E21" s="31" t="s">
        <v>208</v>
      </c>
      <c r="F21" s="30">
        <v>0</v>
      </c>
      <c r="G21" s="31" t="s">
        <v>239</v>
      </c>
      <c r="H21" s="31" t="s">
        <v>240</v>
      </c>
    </row>
    <row r="22" spans="2:8" ht="27" customHeight="1">
      <c r="B22" s="30">
        <v>43</v>
      </c>
      <c r="C22" s="31" t="s">
        <v>119</v>
      </c>
      <c r="D22" s="31" t="s">
        <v>241</v>
      </c>
      <c r="E22" s="31" t="s">
        <v>208</v>
      </c>
      <c r="F22" s="30">
        <v>0.02</v>
      </c>
      <c r="G22" s="31" t="s">
        <v>242</v>
      </c>
      <c r="H22" s="31" t="s">
        <v>243</v>
      </c>
    </row>
    <row r="23" spans="2:8" ht="39" customHeight="1">
      <c r="B23" s="30">
        <v>44</v>
      </c>
      <c r="C23" s="31" t="s">
        <v>122</v>
      </c>
      <c r="D23" s="31" t="s">
        <v>244</v>
      </c>
      <c r="E23" s="31" t="s">
        <v>208</v>
      </c>
      <c r="F23" s="30">
        <v>20</v>
      </c>
      <c r="G23" s="31" t="s">
        <v>245</v>
      </c>
      <c r="H23" s="31" t="s">
        <v>246</v>
      </c>
    </row>
    <row r="24" spans="2:8" ht="27" customHeight="1">
      <c r="B24" s="30">
        <v>46</v>
      </c>
      <c r="C24" s="31" t="s">
        <v>126</v>
      </c>
      <c r="D24" s="31" t="s">
        <v>247</v>
      </c>
      <c r="E24" s="31" t="s">
        <v>208</v>
      </c>
      <c r="F24" s="30">
        <v>5</v>
      </c>
      <c r="G24" s="31" t="s">
        <v>248</v>
      </c>
      <c r="H24" s="31" t="s">
        <v>249</v>
      </c>
    </row>
    <row r="25" spans="2:8" ht="27" customHeight="1">
      <c r="B25" s="30">
        <v>47</v>
      </c>
      <c r="C25" s="31" t="s">
        <v>128</v>
      </c>
      <c r="D25" s="31" t="s">
        <v>250</v>
      </c>
      <c r="E25" s="31" t="s">
        <v>208</v>
      </c>
      <c r="F25" s="30">
        <v>0.05</v>
      </c>
      <c r="G25" s="31" t="s">
        <v>251</v>
      </c>
      <c r="H25" s="31" t="s">
        <v>252</v>
      </c>
    </row>
    <row r="26" spans="2:8" ht="27" customHeight="1">
      <c r="B26" s="30">
        <v>48</v>
      </c>
      <c r="C26" s="31" t="s">
        <v>129</v>
      </c>
      <c r="D26" s="31" t="s">
        <v>253</v>
      </c>
      <c r="E26" s="31" t="s">
        <v>212</v>
      </c>
      <c r="F26" s="30">
        <v>5</v>
      </c>
      <c r="G26" s="31" t="s">
        <v>254</v>
      </c>
      <c r="H26" s="31" t="s">
        <v>255</v>
      </c>
    </row>
    <row r="27" spans="2:8" ht="27" customHeight="1">
      <c r="B27" s="30">
        <v>49</v>
      </c>
      <c r="C27" s="31" t="s">
        <v>130</v>
      </c>
      <c r="D27" s="31" t="s">
        <v>256</v>
      </c>
      <c r="E27" s="31" t="s">
        <v>212</v>
      </c>
      <c r="F27" s="30">
        <v>2</v>
      </c>
      <c r="G27" s="31" t="s">
        <v>215</v>
      </c>
      <c r="H27" s="31" t="s">
        <v>257</v>
      </c>
    </row>
    <row r="28" spans="2:8" ht="63" customHeight="1">
      <c r="B28" s="30">
        <v>52</v>
      </c>
      <c r="C28" s="31" t="s">
        <v>135</v>
      </c>
      <c r="D28" s="31" t="s">
        <v>138</v>
      </c>
      <c r="E28" s="31" t="s">
        <v>217</v>
      </c>
      <c r="F28" s="30">
        <v>2.95</v>
      </c>
      <c r="G28" s="31" t="s">
        <v>218</v>
      </c>
      <c r="H28" s="31" t="s">
        <v>258</v>
      </c>
    </row>
    <row r="29" spans="2:8" ht="39" customHeight="1">
      <c r="B29" s="30">
        <v>53</v>
      </c>
      <c r="C29" s="31" t="s">
        <v>139</v>
      </c>
      <c r="D29" s="31" t="s">
        <v>259</v>
      </c>
      <c r="E29" s="31" t="s">
        <v>208</v>
      </c>
      <c r="F29" s="30">
        <v>2</v>
      </c>
      <c r="G29" s="31" t="s">
        <v>260</v>
      </c>
      <c r="H29" s="31" t="s">
        <v>261</v>
      </c>
    </row>
    <row r="30" spans="2:8" ht="27" customHeight="1">
      <c r="B30" s="30">
        <v>54</v>
      </c>
      <c r="C30" s="31" t="s">
        <v>141</v>
      </c>
      <c r="D30" s="31" t="s">
        <v>262</v>
      </c>
      <c r="E30" s="31" t="s">
        <v>208</v>
      </c>
      <c r="F30" s="30">
        <v>0.5</v>
      </c>
      <c r="G30" s="31" t="s">
        <v>263</v>
      </c>
      <c r="H30" s="31" t="s">
        <v>264</v>
      </c>
    </row>
    <row r="31" spans="2:8" ht="27" customHeight="1">
      <c r="B31" s="30">
        <v>55</v>
      </c>
      <c r="C31" s="31" t="s">
        <v>143</v>
      </c>
      <c r="D31" s="31" t="s">
        <v>265</v>
      </c>
      <c r="E31" s="31" t="s">
        <v>212</v>
      </c>
      <c r="F31" s="30">
        <v>3</v>
      </c>
      <c r="G31" s="31" t="s">
        <v>266</v>
      </c>
      <c r="H31" s="31" t="s">
        <v>267</v>
      </c>
    </row>
    <row r="32" spans="2:8">
      <c r="B32" s="30">
        <v>56</v>
      </c>
      <c r="C32" s="31" t="s">
        <v>145</v>
      </c>
      <c r="D32" s="31" t="s">
        <v>145</v>
      </c>
      <c r="E32" s="31" t="s">
        <v>208</v>
      </c>
      <c r="F32" s="30">
        <v>2</v>
      </c>
      <c r="G32" s="31" t="s">
        <v>215</v>
      </c>
      <c r="H32" s="31" t="s">
        <v>268</v>
      </c>
    </row>
    <row r="33" spans="2:8" ht="27" customHeight="1">
      <c r="B33" s="30">
        <v>57</v>
      </c>
      <c r="C33" s="31" t="s">
        <v>146</v>
      </c>
      <c r="D33" s="31" t="s">
        <v>269</v>
      </c>
      <c r="E33" s="31" t="s">
        <v>208</v>
      </c>
      <c r="F33" s="30">
        <v>1</v>
      </c>
      <c r="G33" s="31" t="s">
        <v>270</v>
      </c>
      <c r="H33" s="31" t="s">
        <v>271</v>
      </c>
    </row>
    <row r="34" spans="2:8">
      <c r="B34" s="30">
        <v>58</v>
      </c>
      <c r="C34" s="31" t="s">
        <v>149</v>
      </c>
      <c r="D34" s="31" t="s">
        <v>272</v>
      </c>
      <c r="E34" s="31" t="s">
        <v>208</v>
      </c>
      <c r="F34" s="30">
        <v>0.2</v>
      </c>
      <c r="G34" s="31" t="s">
        <v>273</v>
      </c>
      <c r="H34" s="31"/>
    </row>
    <row r="35" spans="2:8">
      <c r="B35" s="30">
        <v>59</v>
      </c>
      <c r="C35" s="31" t="s">
        <v>150</v>
      </c>
      <c r="D35" s="31" t="s">
        <v>272</v>
      </c>
      <c r="E35" s="31" t="s">
        <v>208</v>
      </c>
      <c r="F35" s="30">
        <v>0.01</v>
      </c>
      <c r="G35" s="31" t="s">
        <v>274</v>
      </c>
      <c r="H35" s="31"/>
    </row>
    <row r="36" spans="2:8">
      <c r="B36" s="30">
        <v>60</v>
      </c>
      <c r="C36" s="31" t="s">
        <v>151</v>
      </c>
      <c r="D36" s="31" t="s">
        <v>272</v>
      </c>
      <c r="E36" s="31" t="s">
        <v>208</v>
      </c>
      <c r="F36" s="30">
        <v>2</v>
      </c>
      <c r="G36" s="31" t="s">
        <v>275</v>
      </c>
      <c r="H36" s="31" t="s">
        <v>276</v>
      </c>
    </row>
    <row r="37" spans="2:8">
      <c r="B37" s="30">
        <v>61</v>
      </c>
      <c r="C37" s="31" t="s">
        <v>152</v>
      </c>
      <c r="D37" s="31" t="s">
        <v>277</v>
      </c>
      <c r="E37" s="31" t="s">
        <v>208</v>
      </c>
      <c r="F37" s="30">
        <v>3</v>
      </c>
      <c r="G37" s="31" t="s">
        <v>278</v>
      </c>
      <c r="H37" s="31" t="s">
        <v>279</v>
      </c>
    </row>
    <row r="38" spans="2:8">
      <c r="B38" s="30">
        <v>62</v>
      </c>
      <c r="C38" s="31" t="s">
        <v>153</v>
      </c>
      <c r="D38" s="31" t="s">
        <v>277</v>
      </c>
      <c r="E38" s="31" t="s">
        <v>208</v>
      </c>
      <c r="F38" s="30">
        <v>0.2</v>
      </c>
      <c r="G38" s="31" t="s">
        <v>273</v>
      </c>
      <c r="H38" s="31" t="s">
        <v>280</v>
      </c>
    </row>
    <row r="39" spans="2:8">
      <c r="B39" s="30">
        <v>63</v>
      </c>
      <c r="C39" s="31" t="s">
        <v>154</v>
      </c>
      <c r="D39" s="31" t="s">
        <v>281</v>
      </c>
      <c r="E39" s="31" t="s">
        <v>208</v>
      </c>
      <c r="F39" s="30">
        <v>0.05</v>
      </c>
      <c r="G39" s="31" t="s">
        <v>282</v>
      </c>
      <c r="H39" s="31"/>
    </row>
    <row r="40" spans="2:8">
      <c r="B40" s="30">
        <v>64</v>
      </c>
      <c r="C40" s="31" t="s">
        <v>155</v>
      </c>
      <c r="D40" s="31" t="s">
        <v>272</v>
      </c>
      <c r="E40" s="31" t="s">
        <v>208</v>
      </c>
      <c r="F40" s="30">
        <v>0.1</v>
      </c>
      <c r="G40" s="31" t="s">
        <v>283</v>
      </c>
      <c r="H40" s="31"/>
    </row>
    <row r="41" spans="2:8">
      <c r="B41" s="30">
        <v>65</v>
      </c>
      <c r="C41" s="31" t="s">
        <v>156</v>
      </c>
      <c r="D41" s="31" t="s">
        <v>281</v>
      </c>
      <c r="E41" s="31" t="s">
        <v>208</v>
      </c>
      <c r="F41" s="30">
        <v>0.02</v>
      </c>
      <c r="G41" s="31" t="s">
        <v>284</v>
      </c>
      <c r="H41" s="31"/>
    </row>
    <row r="42" spans="2:8">
      <c r="B42" s="30">
        <v>66</v>
      </c>
      <c r="C42" s="31" t="s">
        <v>157</v>
      </c>
      <c r="D42" s="31" t="s">
        <v>218</v>
      </c>
      <c r="E42" s="31" t="s">
        <v>208</v>
      </c>
      <c r="F42" s="30">
        <v>0</v>
      </c>
      <c r="G42" s="31" t="s">
        <v>239</v>
      </c>
      <c r="H42" s="31" t="s">
        <v>285</v>
      </c>
    </row>
    <row r="43" spans="2:8" ht="27" customHeight="1">
      <c r="B43" s="30">
        <v>68</v>
      </c>
      <c r="C43" s="31" t="s">
        <v>143</v>
      </c>
      <c r="D43" s="31" t="s">
        <v>265</v>
      </c>
      <c r="E43" s="31" t="s">
        <v>212</v>
      </c>
      <c r="F43" s="30">
        <v>3</v>
      </c>
      <c r="G43" s="31" t="s">
        <v>266</v>
      </c>
      <c r="H43" s="31" t="s">
        <v>286</v>
      </c>
    </row>
    <row r="44" spans="2:8" ht="27" customHeight="1">
      <c r="B44" s="30">
        <v>69</v>
      </c>
      <c r="C44" s="31" t="s">
        <v>145</v>
      </c>
      <c r="D44" s="31" t="s">
        <v>145</v>
      </c>
      <c r="E44" s="31" t="s">
        <v>208</v>
      </c>
      <c r="F44" s="30">
        <v>2</v>
      </c>
      <c r="G44" s="31" t="s">
        <v>215</v>
      </c>
      <c r="H44" s="31" t="s">
        <v>287</v>
      </c>
    </row>
    <row r="45" spans="2:8" ht="27" customHeight="1">
      <c r="B45" s="30">
        <v>70</v>
      </c>
      <c r="C45" s="31" t="s">
        <v>146</v>
      </c>
      <c r="D45" s="31" t="s">
        <v>269</v>
      </c>
      <c r="E45" s="31" t="s">
        <v>208</v>
      </c>
      <c r="F45" s="30">
        <v>1</v>
      </c>
      <c r="G45" s="31" t="s">
        <v>270</v>
      </c>
      <c r="H45" s="31" t="s">
        <v>288</v>
      </c>
    </row>
    <row r="46" spans="2:8">
      <c r="B46" s="30">
        <v>71</v>
      </c>
      <c r="C46" s="31" t="s">
        <v>149</v>
      </c>
      <c r="D46" s="31" t="s">
        <v>272</v>
      </c>
      <c r="E46" s="31" t="s">
        <v>208</v>
      </c>
      <c r="F46" s="30">
        <v>0.2</v>
      </c>
      <c r="G46" s="31" t="s">
        <v>273</v>
      </c>
      <c r="H46" s="31" t="s">
        <v>289</v>
      </c>
    </row>
    <row r="47" spans="2:8">
      <c r="B47" s="30">
        <v>72</v>
      </c>
      <c r="C47" s="31" t="s">
        <v>150</v>
      </c>
      <c r="D47" s="31" t="s">
        <v>272</v>
      </c>
      <c r="E47" s="31" t="s">
        <v>208</v>
      </c>
      <c r="F47" s="30">
        <v>0.01</v>
      </c>
      <c r="G47" s="31" t="s">
        <v>274</v>
      </c>
      <c r="H47" s="31" t="s">
        <v>289</v>
      </c>
    </row>
    <row r="48" spans="2:8" ht="27" customHeight="1">
      <c r="B48" s="30">
        <v>73</v>
      </c>
      <c r="C48" s="31" t="s">
        <v>151</v>
      </c>
      <c r="D48" s="31" t="s">
        <v>272</v>
      </c>
      <c r="E48" s="31" t="s">
        <v>208</v>
      </c>
      <c r="F48" s="30">
        <v>2</v>
      </c>
      <c r="G48" s="31" t="s">
        <v>275</v>
      </c>
      <c r="H48" s="31" t="s">
        <v>290</v>
      </c>
    </row>
    <row r="49" spans="2:8" ht="27" customHeight="1">
      <c r="B49" s="30">
        <v>74</v>
      </c>
      <c r="C49" s="31" t="s">
        <v>152</v>
      </c>
      <c r="D49" s="31" t="s">
        <v>277</v>
      </c>
      <c r="E49" s="31" t="s">
        <v>208</v>
      </c>
      <c r="F49" s="30">
        <v>3</v>
      </c>
      <c r="G49" s="31" t="s">
        <v>278</v>
      </c>
      <c r="H49" s="31" t="s">
        <v>291</v>
      </c>
    </row>
    <row r="50" spans="2:8" ht="27" customHeight="1">
      <c r="B50" s="30">
        <v>75</v>
      </c>
      <c r="C50" s="31" t="s">
        <v>153</v>
      </c>
      <c r="D50" s="31" t="s">
        <v>277</v>
      </c>
      <c r="E50" s="31" t="s">
        <v>208</v>
      </c>
      <c r="F50" s="30">
        <v>0.2</v>
      </c>
      <c r="G50" s="31" t="s">
        <v>273</v>
      </c>
      <c r="H50" s="31" t="s">
        <v>292</v>
      </c>
    </row>
    <row r="51" spans="2:8">
      <c r="B51" s="30">
        <v>76</v>
      </c>
      <c r="C51" s="31" t="s">
        <v>154</v>
      </c>
      <c r="D51" s="31" t="s">
        <v>281</v>
      </c>
      <c r="E51" s="31" t="s">
        <v>208</v>
      </c>
      <c r="F51" s="30">
        <v>0.05</v>
      </c>
      <c r="G51" s="31" t="s">
        <v>282</v>
      </c>
      <c r="H51" s="31" t="s">
        <v>289</v>
      </c>
    </row>
    <row r="52" spans="2:8">
      <c r="B52" s="30">
        <v>77</v>
      </c>
      <c r="C52" s="31" t="s">
        <v>155</v>
      </c>
      <c r="D52" s="31" t="s">
        <v>272</v>
      </c>
      <c r="E52" s="31" t="s">
        <v>208</v>
      </c>
      <c r="F52" s="30">
        <v>0.1</v>
      </c>
      <c r="G52" s="31" t="s">
        <v>283</v>
      </c>
      <c r="H52" s="31" t="s">
        <v>289</v>
      </c>
    </row>
    <row r="53" spans="2:8">
      <c r="B53" s="30">
        <v>78</v>
      </c>
      <c r="C53" s="31" t="s">
        <v>156</v>
      </c>
      <c r="D53" s="31" t="s">
        <v>281</v>
      </c>
      <c r="E53" s="31" t="s">
        <v>208</v>
      </c>
      <c r="F53" s="30">
        <v>0.02</v>
      </c>
      <c r="G53" s="31" t="s">
        <v>284</v>
      </c>
      <c r="H53" s="31" t="s">
        <v>289</v>
      </c>
    </row>
    <row r="54" spans="2:8" ht="27" customHeight="1">
      <c r="B54" s="30">
        <v>79</v>
      </c>
      <c r="C54" s="31" t="s">
        <v>157</v>
      </c>
      <c r="D54" s="31" t="s">
        <v>218</v>
      </c>
      <c r="E54" s="31" t="s">
        <v>208</v>
      </c>
      <c r="F54" s="30">
        <v>0</v>
      </c>
      <c r="G54" s="31" t="s">
        <v>239</v>
      </c>
      <c r="H54" s="31" t="s">
        <v>293</v>
      </c>
    </row>
  </sheetData>
  <mergeCells count="3"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Log Types</vt:lpstr>
      <vt:lpstr>Summary</vt:lpstr>
      <vt:lpstr>Estimate notes</vt:lpstr>
      <vt:lpstr>DaysPerMonth</vt:lpstr>
      <vt:lpstr>FreeRetDays</vt:lpstr>
      <vt:lpstr>PriceAnalytics</vt:lpstr>
      <vt:lpstr>PriceLake</vt:lpstr>
      <vt:lpstr>PriceStorage</vt:lpstr>
      <vt:lpstr>RetAnalyticsTotal</vt:lpstr>
      <vt:lpstr>RetLakeTotal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2026-10-27T15:19:47Z</dcterms:created>
  <dcterms:modified xsi:type="dcterms:W3CDTF">2026-10-27T15:19:47Z</dcterms:modified>
</cp:coreProperties>
</file>